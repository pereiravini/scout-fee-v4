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vini2\Desktop\Portfólio\scout_fee\"/>
    </mc:Choice>
  </mc:AlternateContent>
  <xr:revisionPtr revIDLastSave="0" documentId="13_ncr:1_{C827711B-3F09-4BD9-8D23-271998F116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Produtivida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7" i="1" l="1"/>
  <c r="T177" i="1"/>
  <c r="O177" i="1"/>
  <c r="B177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177" i="1" l="1"/>
</calcChain>
</file>

<file path=xl/sharedStrings.xml><?xml version="1.0" encoding="utf-8"?>
<sst xmlns="http://schemas.openxmlformats.org/spreadsheetml/2006/main" count="1510" uniqueCount="234">
  <si>
    <t>Produtividade - Analítico</t>
  </si>
  <si>
    <t>de 01/08/2019 até 31/12/2026</t>
  </si>
  <si>
    <t>Cliente</t>
  </si>
  <si>
    <t>CPF/CNPJ Cliente</t>
  </si>
  <si>
    <t>Fornecedor</t>
  </si>
  <si>
    <t xml:space="preserve">CNPJ Fornecedor </t>
  </si>
  <si>
    <t>Localizador</t>
  </si>
  <si>
    <t>Handle Accounting</t>
  </si>
  <si>
    <t>Accounting VM</t>
  </si>
  <si>
    <t>Bilhete</t>
  </si>
  <si>
    <t>Data Emissão</t>
  </si>
  <si>
    <t>Movimento</t>
  </si>
  <si>
    <t>Trechos</t>
  </si>
  <si>
    <t>Milhas</t>
  </si>
  <si>
    <t xml:space="preserve">Data IN </t>
  </si>
  <si>
    <t>Data OUT</t>
  </si>
  <si>
    <t>Diárias</t>
  </si>
  <si>
    <t>Destino Serviço</t>
  </si>
  <si>
    <t>Forma de Recebimento</t>
  </si>
  <si>
    <t>Fatura/Documento</t>
  </si>
  <si>
    <t>Apuração Fee</t>
  </si>
  <si>
    <t>Tarifa</t>
  </si>
  <si>
    <t>Taxas</t>
  </si>
  <si>
    <t>Total</t>
  </si>
  <si>
    <t>PEREIRA FINANCE</t>
  </si>
  <si>
    <t>43.987.777/0001-02</t>
  </si>
  <si>
    <t>JERONIMO EVENTOS</t>
  </si>
  <si>
    <t>15.632.894/0001-44</t>
  </si>
  <si>
    <t>RKO5UJ</t>
  </si>
  <si>
    <t>LC</t>
  </si>
  <si>
    <t>5B</t>
  </si>
  <si>
    <t>ALIMENTOS E BEBIDAS</t>
  </si>
  <si>
    <t>Faturado</t>
  </si>
  <si>
    <t>ASAP STANDS</t>
  </si>
  <si>
    <t>02.632.254/0001-44</t>
  </si>
  <si>
    <t>SCO5UG</t>
  </si>
  <si>
    <t>MONTADORA</t>
  </si>
  <si>
    <t>MENDONÇA FRETES</t>
  </si>
  <si>
    <t>26.598.205/0001-44</t>
  </si>
  <si>
    <t>KJO5UZE</t>
  </si>
  <si>
    <t>NECESSIDADES ADICIONAIS</t>
  </si>
  <si>
    <t>OLV AIRLINES</t>
  </si>
  <si>
    <t>29.656.894/0001-44</t>
  </si>
  <si>
    <t>PLO5USS</t>
  </si>
  <si>
    <t>AÉREO</t>
  </si>
  <si>
    <t>CUSTOS OPERACIONAIS</t>
  </si>
  <si>
    <t>00.000.000/0000-00</t>
  </si>
  <si>
    <t>NETO DOCES</t>
  </si>
  <si>
    <t>03.925.122/0001-55</t>
  </si>
  <si>
    <t>R52HJC</t>
  </si>
  <si>
    <t>LOCIDA CARS</t>
  </si>
  <si>
    <t>44.123.890/0001-11</t>
  </si>
  <si>
    <t>SDW4SH</t>
  </si>
  <si>
    <t>VREN93</t>
  </si>
  <si>
    <t>EXPRESS TRANSPORTES</t>
  </si>
  <si>
    <t>33.987.111/0001-22</t>
  </si>
  <si>
    <t>DRC11E</t>
  </si>
  <si>
    <t>SV871YZ</t>
  </si>
  <si>
    <t>SERVICES EXPRESS</t>
  </si>
  <si>
    <t>55.666.777/0001-88</t>
  </si>
  <si>
    <t>PSEIMVI</t>
  </si>
  <si>
    <t>CBLSKR</t>
  </si>
  <si>
    <t>HOSPEDAGEM</t>
  </si>
  <si>
    <t>IRODXMO</t>
  </si>
  <si>
    <t>TRANSPORTE TERRESTRE</t>
  </si>
  <si>
    <t>OM5IGQ</t>
  </si>
  <si>
    <t>LATAM AIRLINES</t>
  </si>
  <si>
    <t>02.012.862/0001-60</t>
  </si>
  <si>
    <t>5C34DX</t>
  </si>
  <si>
    <t>FRHOCN</t>
  </si>
  <si>
    <t>P89UZFK</t>
  </si>
  <si>
    <t>0CVS4F</t>
  </si>
  <si>
    <t>SUPRIMENTOS DE ESCRITÓRIO SP</t>
  </si>
  <si>
    <t>11.222.333/0001-44</t>
  </si>
  <si>
    <t>VYIE6I</t>
  </si>
  <si>
    <t>XULJYLJ</t>
  </si>
  <si>
    <t>HOTEL TRANSAMERICA</t>
  </si>
  <si>
    <t>12.345.678/0001-90</t>
  </si>
  <si>
    <t>L1CQ99C</t>
  </si>
  <si>
    <t>55NF4ZW</t>
  </si>
  <si>
    <t>7D5J60F</t>
  </si>
  <si>
    <t>AZUL LINHAS AÉREAS</t>
  </si>
  <si>
    <t>09.296.295/0001-60</t>
  </si>
  <si>
    <t>Y4SJ6B</t>
  </si>
  <si>
    <t>LOCAÇÃO DE VEÍCULOS</t>
  </si>
  <si>
    <t>A1WJ0T</t>
  </si>
  <si>
    <t>8YFBNT</t>
  </si>
  <si>
    <t>6246HID</t>
  </si>
  <si>
    <t>GOL LINHAS AÉREAS</t>
  </si>
  <si>
    <t>07.575.651/0001-59</t>
  </si>
  <si>
    <t>7IF2GO</t>
  </si>
  <si>
    <t>253J2D5</t>
  </si>
  <si>
    <t>M35IXOK</t>
  </si>
  <si>
    <t>XO9T7E8</t>
  </si>
  <si>
    <t>DP0LVS</t>
  </si>
  <si>
    <t>BPS3Y70</t>
  </si>
  <si>
    <t>WXE6SYL</t>
  </si>
  <si>
    <t>P7Y6WK</t>
  </si>
  <si>
    <t>RESTAURANTE SABOR &amp; ARTE</t>
  </si>
  <si>
    <t>22.333.444/0001-55</t>
  </si>
  <si>
    <t>H2VLPYS</t>
  </si>
  <si>
    <t>XKXWD8</t>
  </si>
  <si>
    <t>FB9W1Q</t>
  </si>
  <si>
    <t>OFY6452</t>
  </si>
  <si>
    <t>BI4Q2Y9</t>
  </si>
  <si>
    <t>3T60RJI</t>
  </si>
  <si>
    <t>WJCKJLT</t>
  </si>
  <si>
    <t>ZCOTOH</t>
  </si>
  <si>
    <t>41NAM1</t>
  </si>
  <si>
    <t>RJRNY2</t>
  </si>
  <si>
    <t>9T6VXD</t>
  </si>
  <si>
    <t>BNHL1N</t>
  </si>
  <si>
    <t>4Q0B8IC</t>
  </si>
  <si>
    <t>HAFEYU</t>
  </si>
  <si>
    <t>GV0E38D</t>
  </si>
  <si>
    <t>OZCYWD1</t>
  </si>
  <si>
    <t>MPNSM4</t>
  </si>
  <si>
    <t>W3ZP08J</t>
  </si>
  <si>
    <t>P0J43D5</t>
  </si>
  <si>
    <t>MRLRMJK</t>
  </si>
  <si>
    <t>SGIOTI</t>
  </si>
  <si>
    <t>2DHYLUR</t>
  </si>
  <si>
    <t>MQLIZL0</t>
  </si>
  <si>
    <t>0JV1V9</t>
  </si>
  <si>
    <t>GATJ9TZ</t>
  </si>
  <si>
    <t>5UQPGB</t>
  </si>
  <si>
    <t>RUYF38D</t>
  </si>
  <si>
    <t>1N6KVP</t>
  </si>
  <si>
    <t>8HHXFG</t>
  </si>
  <si>
    <t>ESTACIONAMENTO CENTRAL</t>
  </si>
  <si>
    <t>33.444.555/0001-66</t>
  </si>
  <si>
    <t>YQBKK4C</t>
  </si>
  <si>
    <t>PTX63C</t>
  </si>
  <si>
    <t>PQKOJTP</t>
  </si>
  <si>
    <t>VAIY4VA</t>
  </si>
  <si>
    <t>1GSPK9</t>
  </si>
  <si>
    <t>QOLDFO</t>
  </si>
  <si>
    <t>QLL8OS</t>
  </si>
  <si>
    <t>OGN1W1H</t>
  </si>
  <si>
    <t>5RBW2ZL</t>
  </si>
  <si>
    <t>96QE3R</t>
  </si>
  <si>
    <t>49ITN7S</t>
  </si>
  <si>
    <t>M2JA04U</t>
  </si>
  <si>
    <t>TMTTQLG</t>
  </si>
  <si>
    <t>4OLR6N</t>
  </si>
  <si>
    <t>RBSV55</t>
  </si>
  <si>
    <t>0OXFQ8</t>
  </si>
  <si>
    <t>444NLZ</t>
  </si>
  <si>
    <t>WIYKID</t>
  </si>
  <si>
    <t>PY6B2K</t>
  </si>
  <si>
    <t>U2GC5WI</t>
  </si>
  <si>
    <t>QY6QKTC</t>
  </si>
  <si>
    <t>YQK94DN</t>
  </si>
  <si>
    <t>9XJUY0</t>
  </si>
  <si>
    <t>1I2HGJ1</t>
  </si>
  <si>
    <t>6XLPU0</t>
  </si>
  <si>
    <t>GET8T63</t>
  </si>
  <si>
    <t>0ME8F84</t>
  </si>
  <si>
    <t>DOJEN0J</t>
  </si>
  <si>
    <t>YQW7LV</t>
  </si>
  <si>
    <t>XEBB9EI</t>
  </si>
  <si>
    <t>Y08P0FO</t>
  </si>
  <si>
    <t>7KYHQIN</t>
  </si>
  <si>
    <t>OGE4QX</t>
  </si>
  <si>
    <t>2IEUC1</t>
  </si>
  <si>
    <t>12VJ99T</t>
  </si>
  <si>
    <t>A2ILGB</t>
  </si>
  <si>
    <t>R2SDS8</t>
  </si>
  <si>
    <t>Q8CROYR</t>
  </si>
  <si>
    <t>VCJWTL9</t>
  </si>
  <si>
    <t>DZ4X1ZH</t>
  </si>
  <si>
    <t>3O0LLJ8</t>
  </si>
  <si>
    <t>3DD03U</t>
  </si>
  <si>
    <t>YO57P6B</t>
  </si>
  <si>
    <t>UHXID4</t>
  </si>
  <si>
    <t>3493WX</t>
  </si>
  <si>
    <t>GZLMA5</t>
  </si>
  <si>
    <t>08DTNQ</t>
  </si>
  <si>
    <t>5F1BCP</t>
  </si>
  <si>
    <t>J1EPKYR</t>
  </si>
  <si>
    <t>9BH811K</t>
  </si>
  <si>
    <t>ETIUYM</t>
  </si>
  <si>
    <t>A75UUZP</t>
  </si>
  <si>
    <t>2W37D4</t>
  </si>
  <si>
    <t>OLMLGS</t>
  </si>
  <si>
    <t>M8XFDJG</t>
  </si>
  <si>
    <t>8WQUUY</t>
  </si>
  <si>
    <t>5WFCPKJ</t>
  </si>
  <si>
    <t>QBNKX9D</t>
  </si>
  <si>
    <t>Q3XLRF</t>
  </si>
  <si>
    <t>SGIPPS</t>
  </si>
  <si>
    <t>OMV2XCD</t>
  </si>
  <si>
    <t>MUFM8Z</t>
  </si>
  <si>
    <t>UXLEZ89</t>
  </si>
  <si>
    <t>AL8M1G9</t>
  </si>
  <si>
    <t>X5WVFG</t>
  </si>
  <si>
    <t>BNZ8V12</t>
  </si>
  <si>
    <t>6GYUP12</t>
  </si>
  <si>
    <t>2EJX5T</t>
  </si>
  <si>
    <t>K1J6FP</t>
  </si>
  <si>
    <t>OONNCI</t>
  </si>
  <si>
    <t>2EK3ZEZ</t>
  </si>
  <si>
    <t>J4T0SE</t>
  </si>
  <si>
    <t>IXWC4R</t>
  </si>
  <si>
    <t>ZKAMUG</t>
  </si>
  <si>
    <t>8T2SA5</t>
  </si>
  <si>
    <t>0MCIXDU</t>
  </si>
  <si>
    <t>T3G2QZW</t>
  </si>
  <si>
    <t>KBHB7S</t>
  </si>
  <si>
    <t>1GM25L</t>
  </si>
  <si>
    <t>06N9RR7</t>
  </si>
  <si>
    <t>CV3TLCX</t>
  </si>
  <si>
    <t>YMB5M9</t>
  </si>
  <si>
    <t>YOS0FB</t>
  </si>
  <si>
    <t>EIXN8B</t>
  </si>
  <si>
    <t>PCENLK8</t>
  </si>
  <si>
    <t>6E1ZHWY</t>
  </si>
  <si>
    <t>Q6QDY4</t>
  </si>
  <si>
    <t>64Z7W2S</t>
  </si>
  <si>
    <t>2ATN2T</t>
  </si>
  <si>
    <t>OZROOUE</t>
  </si>
  <si>
    <t>YM52XG8</t>
  </si>
  <si>
    <t>SKF7I8</t>
  </si>
  <si>
    <t>H8JWWDX</t>
  </si>
  <si>
    <t>XZV4U3</t>
  </si>
  <si>
    <t>X1OXRWK</t>
  </si>
  <si>
    <t>QYFOQMF</t>
  </si>
  <si>
    <t>ENULQJI</t>
  </si>
  <si>
    <t>I5FLUL1</t>
  </si>
  <si>
    <t>5RDOQIV</t>
  </si>
  <si>
    <t>KADEJNO</t>
  </si>
  <si>
    <t>NKNQT3</t>
  </si>
  <si>
    <t>9O2M71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</si>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</sst>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V177"/>
  <sheetViews>
    <sheetView showGridLines="0" tabSelected="1" zoomScaleNormal="100" workbookViewId="0">
      <pane ySplit="6" topLeftCell="A151" activePane="bottomLeft" state="frozen"/>
      <selection pane="bottomLeft" activeCell="A158" sqref="A158"/>
    </sheetView>
  </sheetViews>
  <sheetFormatPr defaultRowHeight="14.4" x14ac:dyDescent="0.3"/>
  <cols>
    <col min="1" max="1" width="26.5546875" style="2" bestFit="1" customWidth="1"/>
    <col min="2" max="2" width="17.77734375" style="2" bestFit="1" customWidth="1"/>
    <col min="3" max="3" width="28.5546875" style="2" bestFit="1" customWidth="1"/>
    <col min="4" max="4" width="17.77734375" style="2" bestFit="1" customWidth="1"/>
    <col min="5" max="5" width="10.44140625" style="2" bestFit="1" customWidth="1"/>
    <col min="6" max="6" width="17" style="2" bestFit="1" customWidth="1"/>
    <col min="7" max="7" width="14.109375" style="2" bestFit="1" customWidth="1"/>
    <col min="8" max="8" width="7" style="2" bestFit="1" customWidth="1"/>
    <col min="9" max="9" width="18" style="2" bestFit="1" customWidth="1"/>
    <col min="10" max="10" width="23.88671875" style="2" bestFit="1" customWidth="1"/>
    <col min="11" max="11" width="7.5546875" style="2" bestFit="1" customWidth="1"/>
    <col min="12" max="12" width="6.5546875" style="2" bestFit="1" customWidth="1"/>
    <col min="13" max="14" width="18" style="2" bestFit="1" customWidth="1"/>
    <col min="15" max="15" width="6.5546875" style="2" bestFit="1" customWidth="1"/>
    <col min="16" max="16" width="14" style="2" bestFit="1" customWidth="1"/>
    <col min="17" max="17" width="20.6640625" style="2" bestFit="1" customWidth="1"/>
    <col min="18" max="18" width="17.33203125" style="2" bestFit="1" customWidth="1"/>
    <col min="19" max="19" width="12.44140625" style="2" bestFit="1" customWidth="1"/>
    <col min="20" max="20" width="11.5546875" style="2" bestFit="1" customWidth="1"/>
    <col min="21" max="21" width="7" style="2" bestFit="1" customWidth="1"/>
    <col min="22" max="22" width="11.5546875" style="2" bestFit="1" customWidth="1"/>
    <col min="23" max="23" width="8.88671875" style="2" customWidth="1"/>
    <col min="24" max="16384" width="8.88671875" style="2"/>
  </cols>
  <sheetData>
    <row r="1" spans="1:22" x14ac:dyDescent="0.3">
      <c r="A1" s="1" t="s">
        <v>0</v>
      </c>
      <c r="B1" s="1"/>
    </row>
    <row r="4" spans="1:22" x14ac:dyDescent="0.3">
      <c r="A4" s="2" t="s">
        <v>1</v>
      </c>
    </row>
    <row r="5" spans="1:22" ht="13.8" customHeight="1" x14ac:dyDescent="0.3"/>
    <row r="6" spans="1:22" s="1" customFormat="1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</row>
    <row r="7" spans="1:22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>
        <v>123456</v>
      </c>
      <c r="I7" s="4">
        <v>46254</v>
      </c>
      <c r="J7" s="2" t="s">
        <v>31</v>
      </c>
      <c r="M7" s="4">
        <v>46254</v>
      </c>
      <c r="N7" s="4">
        <v>46254</v>
      </c>
      <c r="O7" s="2">
        <v>1</v>
      </c>
      <c r="Q7" s="2" t="s">
        <v>32</v>
      </c>
      <c r="T7" s="5">
        <v>3000</v>
      </c>
      <c r="U7" s="5">
        <v>0</v>
      </c>
      <c r="V7" s="5">
        <f t="shared" ref="V7:V38" si="0">T7+U7</f>
        <v>3000</v>
      </c>
    </row>
    <row r="8" spans="1:22" x14ac:dyDescent="0.3">
      <c r="A8" s="2" t="s">
        <v>24</v>
      </c>
      <c r="B8" s="2" t="s">
        <v>25</v>
      </c>
      <c r="C8" s="2" t="s">
        <v>33</v>
      </c>
      <c r="D8" s="2" t="s">
        <v>34</v>
      </c>
      <c r="E8" s="2" t="s">
        <v>35</v>
      </c>
      <c r="F8" s="2" t="s">
        <v>29</v>
      </c>
      <c r="G8" s="2" t="s">
        <v>30</v>
      </c>
      <c r="H8" s="2">
        <v>123456</v>
      </c>
      <c r="I8" s="4">
        <v>46254</v>
      </c>
      <c r="J8" s="2" t="s">
        <v>36</v>
      </c>
      <c r="M8" s="4">
        <v>46254</v>
      </c>
      <c r="N8" s="4">
        <v>46254</v>
      </c>
      <c r="O8" s="2">
        <v>1</v>
      </c>
      <c r="Q8" s="2" t="s">
        <v>32</v>
      </c>
      <c r="T8" s="5">
        <v>46250</v>
      </c>
      <c r="U8" s="5">
        <v>0</v>
      </c>
      <c r="V8" s="5">
        <f t="shared" si="0"/>
        <v>46250</v>
      </c>
    </row>
    <row r="9" spans="1:22" x14ac:dyDescent="0.3">
      <c r="A9" s="2" t="s">
        <v>24</v>
      </c>
      <c r="B9" s="2" t="s">
        <v>25</v>
      </c>
      <c r="C9" s="2" t="s">
        <v>37</v>
      </c>
      <c r="D9" s="2" t="s">
        <v>38</v>
      </c>
      <c r="E9" s="2" t="s">
        <v>39</v>
      </c>
      <c r="F9" s="2" t="s">
        <v>29</v>
      </c>
      <c r="G9" s="2" t="s">
        <v>30</v>
      </c>
      <c r="H9" s="2">
        <v>123456</v>
      </c>
      <c r="I9" s="4">
        <v>46254</v>
      </c>
      <c r="J9" s="2" t="s">
        <v>40</v>
      </c>
      <c r="M9" s="4">
        <v>46254</v>
      </c>
      <c r="N9" s="4">
        <v>46254</v>
      </c>
      <c r="O9" s="2">
        <v>1</v>
      </c>
      <c r="Q9" s="2" t="s">
        <v>32</v>
      </c>
      <c r="T9" s="5">
        <v>1399</v>
      </c>
      <c r="U9" s="5">
        <v>0</v>
      </c>
      <c r="V9" s="5">
        <f t="shared" si="0"/>
        <v>1399</v>
      </c>
    </row>
    <row r="10" spans="1:22" x14ac:dyDescent="0.3">
      <c r="A10" s="2" t="s">
        <v>24</v>
      </c>
      <c r="B10" s="2" t="s">
        <v>25</v>
      </c>
      <c r="C10" s="2" t="s">
        <v>41</v>
      </c>
      <c r="D10" s="2" t="s">
        <v>42</v>
      </c>
      <c r="E10" s="2" t="s">
        <v>43</v>
      </c>
      <c r="F10" s="2" t="s">
        <v>29</v>
      </c>
      <c r="G10" s="2" t="s">
        <v>30</v>
      </c>
      <c r="H10" s="2">
        <v>123456</v>
      </c>
      <c r="I10" s="4">
        <v>46254</v>
      </c>
      <c r="J10" s="2" t="s">
        <v>44</v>
      </c>
      <c r="M10" s="4">
        <v>46254</v>
      </c>
      <c r="N10" s="4">
        <v>46254</v>
      </c>
      <c r="O10" s="2">
        <v>1</v>
      </c>
      <c r="Q10" s="2" t="s">
        <v>32</v>
      </c>
      <c r="T10" s="5">
        <v>1652.24</v>
      </c>
      <c r="U10" s="5">
        <v>0</v>
      </c>
      <c r="V10" s="5">
        <f t="shared" si="0"/>
        <v>1652.24</v>
      </c>
    </row>
    <row r="11" spans="1:22" x14ac:dyDescent="0.3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29</v>
      </c>
      <c r="G11" s="2" t="s">
        <v>30</v>
      </c>
      <c r="H11" s="2">
        <v>123456</v>
      </c>
      <c r="I11" s="4">
        <v>46254</v>
      </c>
      <c r="J11" s="2" t="s">
        <v>31</v>
      </c>
      <c r="M11" s="4">
        <v>46254</v>
      </c>
      <c r="N11" s="4">
        <v>46254</v>
      </c>
      <c r="O11" s="2">
        <v>1</v>
      </c>
      <c r="Q11" s="2" t="s">
        <v>32</v>
      </c>
      <c r="T11" s="5">
        <v>2300</v>
      </c>
      <c r="U11" s="5">
        <v>0</v>
      </c>
      <c r="V11" s="5">
        <f t="shared" si="0"/>
        <v>2300</v>
      </c>
    </row>
    <row r="12" spans="1:22" x14ac:dyDescent="0.3">
      <c r="A12" t="s">
        <v>24</v>
      </c>
      <c r="B12" t="s">
        <v>25</v>
      </c>
      <c r="C12" t="s">
        <v>50</v>
      </c>
      <c r="D12" t="s">
        <v>51</v>
      </c>
      <c r="E12" t="s">
        <v>52</v>
      </c>
      <c r="F12" t="s">
        <v>29</v>
      </c>
      <c r="G12" t="s">
        <v>30</v>
      </c>
      <c r="H12">
        <v>123456</v>
      </c>
      <c r="I12" s="4">
        <v>46254</v>
      </c>
      <c r="J12" t="s">
        <v>40</v>
      </c>
      <c r="M12" s="4">
        <v>46254</v>
      </c>
      <c r="N12" s="4">
        <v>46254</v>
      </c>
      <c r="O12">
        <v>1</v>
      </c>
      <c r="Q12" t="s">
        <v>32</v>
      </c>
      <c r="T12" s="5">
        <v>11485.16</v>
      </c>
      <c r="U12" s="5">
        <v>0</v>
      </c>
      <c r="V12" s="5">
        <f t="shared" si="0"/>
        <v>11485.16</v>
      </c>
    </row>
    <row r="13" spans="1:22" x14ac:dyDescent="0.3">
      <c r="A13" t="s">
        <v>24</v>
      </c>
      <c r="B13" t="s">
        <v>25</v>
      </c>
      <c r="C13" t="s">
        <v>50</v>
      </c>
      <c r="D13" t="s">
        <v>51</v>
      </c>
      <c r="E13" t="s">
        <v>53</v>
      </c>
      <c r="F13" t="s">
        <v>29</v>
      </c>
      <c r="G13" t="s">
        <v>30</v>
      </c>
      <c r="H13">
        <v>123456</v>
      </c>
      <c r="I13" s="4">
        <v>46254</v>
      </c>
      <c r="J13" t="s">
        <v>36</v>
      </c>
      <c r="M13" s="4">
        <v>46254</v>
      </c>
      <c r="N13" s="4">
        <v>46254</v>
      </c>
      <c r="O13">
        <v>1</v>
      </c>
      <c r="Q13" t="s">
        <v>32</v>
      </c>
      <c r="T13" s="5">
        <v>1057.29</v>
      </c>
      <c r="U13" s="5">
        <v>0</v>
      </c>
      <c r="V13" s="5">
        <f t="shared" si="0"/>
        <v>1057.29</v>
      </c>
    </row>
    <row r="14" spans="1:22" x14ac:dyDescent="0.3">
      <c r="A14" t="s">
        <v>24</v>
      </c>
      <c r="B14" t="s">
        <v>25</v>
      </c>
      <c r="C14" t="s">
        <v>54</v>
      </c>
      <c r="D14" t="s">
        <v>55</v>
      </c>
      <c r="E14" t="s">
        <v>56</v>
      </c>
      <c r="F14" t="s">
        <v>29</v>
      </c>
      <c r="G14" t="s">
        <v>30</v>
      </c>
      <c r="H14">
        <v>123456</v>
      </c>
      <c r="I14" s="4">
        <v>46254</v>
      </c>
      <c r="J14" t="s">
        <v>44</v>
      </c>
      <c r="M14" s="4">
        <v>46254</v>
      </c>
      <c r="N14" s="4">
        <v>46254</v>
      </c>
      <c r="O14">
        <v>1</v>
      </c>
      <c r="Q14" t="s">
        <v>32</v>
      </c>
      <c r="T14" s="5">
        <v>14213.36</v>
      </c>
      <c r="U14" s="5">
        <v>0</v>
      </c>
      <c r="V14" s="5">
        <f t="shared" si="0"/>
        <v>14213.36</v>
      </c>
    </row>
    <row r="15" spans="1:22" x14ac:dyDescent="0.3">
      <c r="A15" t="s">
        <v>24</v>
      </c>
      <c r="B15" t="s">
        <v>25</v>
      </c>
      <c r="C15" t="s">
        <v>37</v>
      </c>
      <c r="D15" t="s">
        <v>38</v>
      </c>
      <c r="E15" t="s">
        <v>57</v>
      </c>
      <c r="F15" t="s">
        <v>29</v>
      </c>
      <c r="G15" t="s">
        <v>30</v>
      </c>
      <c r="H15">
        <v>123456</v>
      </c>
      <c r="I15" s="4">
        <v>46254</v>
      </c>
      <c r="J15" t="s">
        <v>44</v>
      </c>
      <c r="M15" s="4">
        <v>46254</v>
      </c>
      <c r="N15" s="4">
        <v>46254</v>
      </c>
      <c r="O15">
        <v>1</v>
      </c>
      <c r="Q15" t="s">
        <v>32</v>
      </c>
      <c r="T15" s="5">
        <v>14928.21</v>
      </c>
      <c r="U15" s="5">
        <v>0</v>
      </c>
      <c r="V15" s="5">
        <f t="shared" si="0"/>
        <v>14928.21</v>
      </c>
    </row>
    <row r="16" spans="1:22" x14ac:dyDescent="0.3">
      <c r="A16" t="s">
        <v>45</v>
      </c>
      <c r="B16" t="s">
        <v>46</v>
      </c>
      <c r="C16" t="s">
        <v>58</v>
      </c>
      <c r="D16" t="s">
        <v>59</v>
      </c>
      <c r="E16" t="s">
        <v>60</v>
      </c>
      <c r="F16" t="s">
        <v>29</v>
      </c>
      <c r="G16" t="s">
        <v>30</v>
      </c>
      <c r="H16">
        <v>123456</v>
      </c>
      <c r="I16" s="4">
        <v>46254</v>
      </c>
      <c r="J16" t="s">
        <v>36</v>
      </c>
      <c r="M16" s="4">
        <v>46254</v>
      </c>
      <c r="N16" s="4">
        <v>46254</v>
      </c>
      <c r="O16">
        <v>1</v>
      </c>
      <c r="Q16" t="s">
        <v>32</v>
      </c>
      <c r="T16" s="5">
        <v>306.42</v>
      </c>
      <c r="U16" s="5">
        <v>0</v>
      </c>
      <c r="V16" s="5">
        <f t="shared" si="0"/>
        <v>306.42</v>
      </c>
    </row>
    <row r="17" spans="1:22" x14ac:dyDescent="0.3">
      <c r="A17" t="s">
        <v>24</v>
      </c>
      <c r="B17" t="s">
        <v>25</v>
      </c>
      <c r="C17" t="s">
        <v>26</v>
      </c>
      <c r="D17" t="s">
        <v>27</v>
      </c>
      <c r="E17" t="s">
        <v>61</v>
      </c>
      <c r="F17" t="s">
        <v>29</v>
      </c>
      <c r="G17" t="s">
        <v>30</v>
      </c>
      <c r="H17">
        <v>123456</v>
      </c>
      <c r="I17" s="4">
        <v>46254</v>
      </c>
      <c r="J17" t="s">
        <v>62</v>
      </c>
      <c r="M17" s="4">
        <v>46254</v>
      </c>
      <c r="N17" s="4">
        <v>46254</v>
      </c>
      <c r="O17">
        <v>1</v>
      </c>
      <c r="Q17" t="s">
        <v>32</v>
      </c>
      <c r="T17" s="5">
        <v>2158.2199999999998</v>
      </c>
      <c r="U17" s="5">
        <v>0</v>
      </c>
      <c r="V17" s="5">
        <f t="shared" si="0"/>
        <v>2158.2199999999998</v>
      </c>
    </row>
    <row r="18" spans="1:22" s="3" customFormat="1" x14ac:dyDescent="0.3">
      <c r="A18" t="s">
        <v>24</v>
      </c>
      <c r="B18" t="s">
        <v>25</v>
      </c>
      <c r="C18" t="s">
        <v>54</v>
      </c>
      <c r="D18" t="s">
        <v>55</v>
      </c>
      <c r="E18" t="s">
        <v>63</v>
      </c>
      <c r="F18" t="s">
        <v>29</v>
      </c>
      <c r="G18" t="s">
        <v>30</v>
      </c>
      <c r="H18">
        <v>123456</v>
      </c>
      <c r="I18" s="4">
        <v>46254</v>
      </c>
      <c r="J18" t="s">
        <v>64</v>
      </c>
      <c r="M18" s="4">
        <v>46254</v>
      </c>
      <c r="N18" s="4">
        <v>46254</v>
      </c>
      <c r="O18">
        <v>1</v>
      </c>
      <c r="Q18" t="s">
        <v>32</v>
      </c>
      <c r="T18" s="5">
        <v>10990.32</v>
      </c>
      <c r="U18" s="5">
        <v>0</v>
      </c>
      <c r="V18" s="5">
        <f t="shared" si="0"/>
        <v>10990.32</v>
      </c>
    </row>
    <row r="19" spans="1:22" x14ac:dyDescent="0.3">
      <c r="A19" t="s">
        <v>24</v>
      </c>
      <c r="B19" t="s">
        <v>25</v>
      </c>
      <c r="C19" t="s">
        <v>33</v>
      </c>
      <c r="D19" t="s">
        <v>34</v>
      </c>
      <c r="E19" t="s">
        <v>65</v>
      </c>
      <c r="F19" t="s">
        <v>29</v>
      </c>
      <c r="G19" t="s">
        <v>30</v>
      </c>
      <c r="H19">
        <v>123456</v>
      </c>
      <c r="I19" s="4">
        <v>46254</v>
      </c>
      <c r="J19" t="s">
        <v>44</v>
      </c>
      <c r="M19" s="4">
        <v>46254</v>
      </c>
      <c r="N19" s="4">
        <v>46254</v>
      </c>
      <c r="O19">
        <v>1</v>
      </c>
      <c r="Q19" t="s">
        <v>32</v>
      </c>
      <c r="T19" s="5">
        <v>2915.62</v>
      </c>
      <c r="U19" s="5">
        <v>0</v>
      </c>
      <c r="V19" s="5">
        <f t="shared" si="0"/>
        <v>2915.62</v>
      </c>
    </row>
    <row r="20" spans="1:22" x14ac:dyDescent="0.3">
      <c r="A20" t="s">
        <v>24</v>
      </c>
      <c r="B20" t="s">
        <v>25</v>
      </c>
      <c r="C20" t="s">
        <v>66</v>
      </c>
      <c r="D20" t="s">
        <v>67</v>
      </c>
      <c r="E20" t="s">
        <v>68</v>
      </c>
      <c r="F20" t="s">
        <v>29</v>
      </c>
      <c r="G20" t="s">
        <v>30</v>
      </c>
      <c r="H20">
        <v>123456</v>
      </c>
      <c r="I20" s="4">
        <v>46254</v>
      </c>
      <c r="J20" t="s">
        <v>62</v>
      </c>
      <c r="M20" s="4">
        <v>46254</v>
      </c>
      <c r="N20" s="4">
        <v>46254</v>
      </c>
      <c r="O20">
        <v>1</v>
      </c>
      <c r="Q20" t="s">
        <v>32</v>
      </c>
      <c r="T20" s="5">
        <v>12573.21</v>
      </c>
      <c r="U20" s="5">
        <v>0</v>
      </c>
      <c r="V20" s="5">
        <f t="shared" si="0"/>
        <v>12573.21</v>
      </c>
    </row>
    <row r="21" spans="1:22" x14ac:dyDescent="0.3">
      <c r="A21" t="s">
        <v>24</v>
      </c>
      <c r="B21" t="s">
        <v>25</v>
      </c>
      <c r="C21" t="s">
        <v>33</v>
      </c>
      <c r="D21" t="s">
        <v>34</v>
      </c>
      <c r="E21" t="s">
        <v>69</v>
      </c>
      <c r="F21" t="s">
        <v>29</v>
      </c>
      <c r="G21" t="s">
        <v>30</v>
      </c>
      <c r="H21">
        <v>123456</v>
      </c>
      <c r="I21" s="4">
        <v>46254</v>
      </c>
      <c r="J21" t="s">
        <v>44</v>
      </c>
      <c r="M21" s="4">
        <v>46254</v>
      </c>
      <c r="N21" s="4">
        <v>46254</v>
      </c>
      <c r="O21">
        <v>1</v>
      </c>
      <c r="Q21" t="s">
        <v>32</v>
      </c>
      <c r="T21" s="5">
        <v>4125.01</v>
      </c>
      <c r="U21" s="5">
        <v>0</v>
      </c>
      <c r="V21" s="5">
        <f t="shared" si="0"/>
        <v>4125.01</v>
      </c>
    </row>
    <row r="22" spans="1:22" x14ac:dyDescent="0.3">
      <c r="A22" t="s">
        <v>24</v>
      </c>
      <c r="B22" t="s">
        <v>25</v>
      </c>
      <c r="C22" t="s">
        <v>66</v>
      </c>
      <c r="D22" t="s">
        <v>67</v>
      </c>
      <c r="E22" t="s">
        <v>70</v>
      </c>
      <c r="F22" t="s">
        <v>29</v>
      </c>
      <c r="G22" t="s">
        <v>30</v>
      </c>
      <c r="H22">
        <v>123456</v>
      </c>
      <c r="I22" s="4">
        <v>46254</v>
      </c>
      <c r="J22" t="s">
        <v>31</v>
      </c>
      <c r="M22" s="4">
        <v>46254</v>
      </c>
      <c r="N22" s="4">
        <v>46254</v>
      </c>
      <c r="O22">
        <v>1</v>
      </c>
      <c r="Q22" t="s">
        <v>32</v>
      </c>
      <c r="T22" s="5">
        <v>8771.8700000000008</v>
      </c>
      <c r="U22" s="5">
        <v>0</v>
      </c>
      <c r="V22" s="5">
        <f t="shared" si="0"/>
        <v>8771.8700000000008</v>
      </c>
    </row>
    <row r="23" spans="1:22" x14ac:dyDescent="0.3">
      <c r="A23" t="s">
        <v>24</v>
      </c>
      <c r="B23" t="s">
        <v>25</v>
      </c>
      <c r="C23" t="s">
        <v>50</v>
      </c>
      <c r="D23" t="s">
        <v>51</v>
      </c>
      <c r="E23" t="s">
        <v>71</v>
      </c>
      <c r="F23" t="s">
        <v>29</v>
      </c>
      <c r="G23" t="s">
        <v>30</v>
      </c>
      <c r="H23">
        <v>123456</v>
      </c>
      <c r="I23" s="4">
        <v>46254</v>
      </c>
      <c r="J23" t="s">
        <v>62</v>
      </c>
      <c r="M23" s="4">
        <v>46254</v>
      </c>
      <c r="N23" s="4">
        <v>46254</v>
      </c>
      <c r="O23">
        <v>1</v>
      </c>
      <c r="Q23" t="s">
        <v>32</v>
      </c>
      <c r="T23" s="5">
        <v>1385.65</v>
      </c>
      <c r="U23" s="5">
        <v>0</v>
      </c>
      <c r="V23" s="5">
        <f t="shared" si="0"/>
        <v>1385.65</v>
      </c>
    </row>
    <row r="24" spans="1:22" x14ac:dyDescent="0.3">
      <c r="A24" t="s">
        <v>45</v>
      </c>
      <c r="B24" t="s">
        <v>46</v>
      </c>
      <c r="C24" t="s">
        <v>72</v>
      </c>
      <c r="D24" t="s">
        <v>73</v>
      </c>
      <c r="E24" t="s">
        <v>74</v>
      </c>
      <c r="F24" t="s">
        <v>29</v>
      </c>
      <c r="G24" t="s">
        <v>30</v>
      </c>
      <c r="H24">
        <v>123456</v>
      </c>
      <c r="I24" s="4">
        <v>46254</v>
      </c>
      <c r="J24" t="s">
        <v>62</v>
      </c>
      <c r="M24" s="4">
        <v>46254</v>
      </c>
      <c r="N24" s="4">
        <v>46254</v>
      </c>
      <c r="O24">
        <v>1</v>
      </c>
      <c r="Q24" t="s">
        <v>32</v>
      </c>
      <c r="T24" s="5">
        <v>788.18</v>
      </c>
      <c r="U24" s="5">
        <v>0</v>
      </c>
      <c r="V24" s="5">
        <f t="shared" si="0"/>
        <v>788.18</v>
      </c>
    </row>
    <row r="25" spans="1:22" x14ac:dyDescent="0.3">
      <c r="A25" t="s">
        <v>24</v>
      </c>
      <c r="B25" t="s">
        <v>25</v>
      </c>
      <c r="C25" t="s">
        <v>33</v>
      </c>
      <c r="D25" t="s">
        <v>34</v>
      </c>
      <c r="E25" t="s">
        <v>75</v>
      </c>
      <c r="F25" t="s">
        <v>29</v>
      </c>
      <c r="G25" t="s">
        <v>30</v>
      </c>
      <c r="H25">
        <v>123456</v>
      </c>
      <c r="I25" s="4">
        <v>46254</v>
      </c>
      <c r="J25" t="s">
        <v>36</v>
      </c>
      <c r="M25" s="4">
        <v>46254</v>
      </c>
      <c r="N25" s="4">
        <v>46254</v>
      </c>
      <c r="O25">
        <v>1</v>
      </c>
      <c r="Q25" t="s">
        <v>32</v>
      </c>
      <c r="T25" s="5">
        <v>10141.02</v>
      </c>
      <c r="U25" s="5">
        <v>0</v>
      </c>
      <c r="V25" s="5">
        <f t="shared" si="0"/>
        <v>10141.02</v>
      </c>
    </row>
    <row r="26" spans="1:22" x14ac:dyDescent="0.3">
      <c r="A26" t="s">
        <v>24</v>
      </c>
      <c r="B26" t="s">
        <v>25</v>
      </c>
      <c r="C26" t="s">
        <v>76</v>
      </c>
      <c r="D26" t="s">
        <v>77</v>
      </c>
      <c r="E26" t="s">
        <v>78</v>
      </c>
      <c r="F26" t="s">
        <v>29</v>
      </c>
      <c r="G26" t="s">
        <v>30</v>
      </c>
      <c r="H26">
        <v>123456</v>
      </c>
      <c r="I26" s="4">
        <v>46254</v>
      </c>
      <c r="J26" t="s">
        <v>36</v>
      </c>
      <c r="M26" s="4">
        <v>46254</v>
      </c>
      <c r="N26" s="4">
        <v>46254</v>
      </c>
      <c r="O26">
        <v>1</v>
      </c>
      <c r="Q26" t="s">
        <v>32</v>
      </c>
      <c r="T26" s="5">
        <v>7687.09</v>
      </c>
      <c r="U26" s="5">
        <v>0</v>
      </c>
      <c r="V26" s="5">
        <f t="shared" si="0"/>
        <v>7687.09</v>
      </c>
    </row>
    <row r="27" spans="1:22" x14ac:dyDescent="0.3">
      <c r="A27" t="s">
        <v>24</v>
      </c>
      <c r="B27" t="s">
        <v>25</v>
      </c>
      <c r="C27" t="s">
        <v>37</v>
      </c>
      <c r="D27" t="s">
        <v>38</v>
      </c>
      <c r="E27" t="s">
        <v>79</v>
      </c>
      <c r="F27" t="s">
        <v>29</v>
      </c>
      <c r="G27" t="s">
        <v>30</v>
      </c>
      <c r="H27">
        <v>123456</v>
      </c>
      <c r="I27" s="4">
        <v>46254</v>
      </c>
      <c r="J27" t="s">
        <v>64</v>
      </c>
      <c r="M27" s="4">
        <v>46254</v>
      </c>
      <c r="N27" s="4">
        <v>46254</v>
      </c>
      <c r="O27">
        <v>1</v>
      </c>
      <c r="Q27" t="s">
        <v>32</v>
      </c>
      <c r="T27" s="5">
        <v>9878.85</v>
      </c>
      <c r="U27" s="5">
        <v>0</v>
      </c>
      <c r="V27" s="5">
        <f t="shared" si="0"/>
        <v>9878.85</v>
      </c>
    </row>
    <row r="28" spans="1:22" x14ac:dyDescent="0.3">
      <c r="A28" t="s">
        <v>24</v>
      </c>
      <c r="B28" t="s">
        <v>25</v>
      </c>
      <c r="C28" t="s">
        <v>26</v>
      </c>
      <c r="D28" t="s">
        <v>27</v>
      </c>
      <c r="E28" t="s">
        <v>80</v>
      </c>
      <c r="F28" t="s">
        <v>29</v>
      </c>
      <c r="G28" t="s">
        <v>30</v>
      </c>
      <c r="H28">
        <v>123456</v>
      </c>
      <c r="I28" s="4">
        <v>46254</v>
      </c>
      <c r="J28" t="s">
        <v>40</v>
      </c>
      <c r="M28" s="4">
        <v>46254</v>
      </c>
      <c r="N28" s="4">
        <v>46254</v>
      </c>
      <c r="O28">
        <v>1</v>
      </c>
      <c r="Q28" t="s">
        <v>32</v>
      </c>
      <c r="T28" s="5">
        <v>9151.48</v>
      </c>
      <c r="U28" s="5">
        <v>0</v>
      </c>
      <c r="V28" s="5">
        <f t="shared" si="0"/>
        <v>9151.48</v>
      </c>
    </row>
    <row r="29" spans="1:22" x14ac:dyDescent="0.3">
      <c r="A29" t="s">
        <v>24</v>
      </c>
      <c r="B29" t="s">
        <v>25</v>
      </c>
      <c r="C29" t="s">
        <v>81</v>
      </c>
      <c r="D29" t="s">
        <v>82</v>
      </c>
      <c r="E29" t="s">
        <v>83</v>
      </c>
      <c r="F29" t="s">
        <v>29</v>
      </c>
      <c r="G29" t="s">
        <v>30</v>
      </c>
      <c r="H29">
        <v>123456</v>
      </c>
      <c r="I29" s="4">
        <v>46254</v>
      </c>
      <c r="J29" t="s">
        <v>84</v>
      </c>
      <c r="M29" s="4">
        <v>46254</v>
      </c>
      <c r="N29" s="4">
        <v>46254</v>
      </c>
      <c r="O29">
        <v>1</v>
      </c>
      <c r="Q29" t="s">
        <v>32</v>
      </c>
      <c r="T29" s="5">
        <v>6468.92</v>
      </c>
      <c r="U29" s="5">
        <v>0</v>
      </c>
      <c r="V29" s="5">
        <f t="shared" si="0"/>
        <v>6468.92</v>
      </c>
    </row>
    <row r="30" spans="1:22" x14ac:dyDescent="0.3">
      <c r="A30" t="s">
        <v>24</v>
      </c>
      <c r="B30" t="s">
        <v>25</v>
      </c>
      <c r="C30" t="s">
        <v>76</v>
      </c>
      <c r="D30" t="s">
        <v>77</v>
      </c>
      <c r="E30" t="s">
        <v>85</v>
      </c>
      <c r="F30" t="s">
        <v>29</v>
      </c>
      <c r="G30" t="s">
        <v>30</v>
      </c>
      <c r="H30">
        <v>123456</v>
      </c>
      <c r="I30" s="4">
        <v>46254</v>
      </c>
      <c r="J30" t="s">
        <v>44</v>
      </c>
      <c r="M30" s="4">
        <v>46254</v>
      </c>
      <c r="N30" s="4">
        <v>46254</v>
      </c>
      <c r="O30">
        <v>1</v>
      </c>
      <c r="Q30" t="s">
        <v>32</v>
      </c>
      <c r="T30" s="5">
        <v>8501.42</v>
      </c>
      <c r="U30" s="5">
        <v>0</v>
      </c>
      <c r="V30" s="5">
        <f t="shared" si="0"/>
        <v>8501.42</v>
      </c>
    </row>
    <row r="31" spans="1:22" x14ac:dyDescent="0.3">
      <c r="A31" t="s">
        <v>24</v>
      </c>
      <c r="B31" t="s">
        <v>25</v>
      </c>
      <c r="C31" t="s">
        <v>33</v>
      </c>
      <c r="D31" t="s">
        <v>34</v>
      </c>
      <c r="E31" t="s">
        <v>86</v>
      </c>
      <c r="F31" t="s">
        <v>29</v>
      </c>
      <c r="G31" t="s">
        <v>30</v>
      </c>
      <c r="H31">
        <v>123456</v>
      </c>
      <c r="I31" s="4">
        <v>46254</v>
      </c>
      <c r="J31" t="s">
        <v>44</v>
      </c>
      <c r="M31" s="4">
        <v>46254</v>
      </c>
      <c r="N31" s="4">
        <v>46254</v>
      </c>
      <c r="O31">
        <v>1</v>
      </c>
      <c r="Q31" t="s">
        <v>32</v>
      </c>
      <c r="T31" s="5">
        <v>2086.19</v>
      </c>
      <c r="U31" s="5">
        <v>0</v>
      </c>
      <c r="V31" s="5">
        <f t="shared" si="0"/>
        <v>2086.19</v>
      </c>
    </row>
    <row r="32" spans="1:22" x14ac:dyDescent="0.3">
      <c r="A32" t="s">
        <v>24</v>
      </c>
      <c r="B32" t="s">
        <v>25</v>
      </c>
      <c r="C32" t="s">
        <v>76</v>
      </c>
      <c r="D32" t="s">
        <v>77</v>
      </c>
      <c r="E32" t="s">
        <v>87</v>
      </c>
      <c r="F32" t="s">
        <v>29</v>
      </c>
      <c r="G32" t="s">
        <v>30</v>
      </c>
      <c r="H32">
        <v>123456</v>
      </c>
      <c r="I32" s="4">
        <v>46254</v>
      </c>
      <c r="J32" t="s">
        <v>64</v>
      </c>
      <c r="M32" s="4">
        <v>46254</v>
      </c>
      <c r="N32" s="4">
        <v>46254</v>
      </c>
      <c r="O32">
        <v>1</v>
      </c>
      <c r="Q32" t="s">
        <v>32</v>
      </c>
      <c r="T32" s="5">
        <v>8486.2800000000007</v>
      </c>
      <c r="U32" s="5">
        <v>0</v>
      </c>
      <c r="V32" s="5">
        <f t="shared" si="0"/>
        <v>8486.2800000000007</v>
      </c>
    </row>
    <row r="33" spans="1:22" x14ac:dyDescent="0.3">
      <c r="A33" t="s">
        <v>24</v>
      </c>
      <c r="B33" t="s">
        <v>25</v>
      </c>
      <c r="C33" t="s">
        <v>88</v>
      </c>
      <c r="D33" t="s">
        <v>89</v>
      </c>
      <c r="E33" t="s">
        <v>90</v>
      </c>
      <c r="F33" t="s">
        <v>29</v>
      </c>
      <c r="G33" t="s">
        <v>30</v>
      </c>
      <c r="H33">
        <v>123456</v>
      </c>
      <c r="I33" s="4">
        <v>46254</v>
      </c>
      <c r="J33" t="s">
        <v>36</v>
      </c>
      <c r="M33" s="4">
        <v>46254</v>
      </c>
      <c r="N33" s="4">
        <v>46254</v>
      </c>
      <c r="O33">
        <v>1</v>
      </c>
      <c r="Q33" t="s">
        <v>32</v>
      </c>
      <c r="T33" s="5">
        <v>11101.15</v>
      </c>
      <c r="U33" s="5">
        <v>0</v>
      </c>
      <c r="V33" s="5">
        <f t="shared" si="0"/>
        <v>11101.15</v>
      </c>
    </row>
    <row r="34" spans="1:22" x14ac:dyDescent="0.3">
      <c r="A34" t="s">
        <v>24</v>
      </c>
      <c r="B34" t="s">
        <v>25</v>
      </c>
      <c r="C34" t="s">
        <v>81</v>
      </c>
      <c r="D34" t="s">
        <v>82</v>
      </c>
      <c r="E34" t="s">
        <v>91</v>
      </c>
      <c r="F34" t="s">
        <v>29</v>
      </c>
      <c r="G34" t="s">
        <v>30</v>
      </c>
      <c r="H34">
        <v>123456</v>
      </c>
      <c r="I34" s="4">
        <v>46254</v>
      </c>
      <c r="J34" t="s">
        <v>64</v>
      </c>
      <c r="M34" s="4">
        <v>46254</v>
      </c>
      <c r="N34" s="4">
        <v>46254</v>
      </c>
      <c r="O34">
        <v>1</v>
      </c>
      <c r="Q34" t="s">
        <v>32</v>
      </c>
      <c r="T34" s="5">
        <v>7166.21</v>
      </c>
      <c r="U34" s="5">
        <v>0</v>
      </c>
      <c r="V34" s="5">
        <f t="shared" si="0"/>
        <v>7166.21</v>
      </c>
    </row>
    <row r="35" spans="1:22" x14ac:dyDescent="0.3">
      <c r="A35" t="s">
        <v>24</v>
      </c>
      <c r="B35" t="s">
        <v>25</v>
      </c>
      <c r="C35" t="s">
        <v>41</v>
      </c>
      <c r="D35" t="s">
        <v>42</v>
      </c>
      <c r="E35" t="s">
        <v>92</v>
      </c>
      <c r="F35" t="s">
        <v>29</v>
      </c>
      <c r="G35" t="s">
        <v>30</v>
      </c>
      <c r="H35">
        <v>123456</v>
      </c>
      <c r="I35" s="4">
        <v>46254</v>
      </c>
      <c r="J35" t="s">
        <v>31</v>
      </c>
      <c r="M35" s="4">
        <v>46254</v>
      </c>
      <c r="N35" s="4">
        <v>46254</v>
      </c>
      <c r="O35">
        <v>1</v>
      </c>
      <c r="Q35" t="s">
        <v>32</v>
      </c>
      <c r="T35" s="5">
        <v>14509.96</v>
      </c>
      <c r="U35" s="5">
        <v>0</v>
      </c>
      <c r="V35" s="5">
        <f t="shared" si="0"/>
        <v>14509.96</v>
      </c>
    </row>
    <row r="36" spans="1:22" x14ac:dyDescent="0.3">
      <c r="A36" t="s">
        <v>24</v>
      </c>
      <c r="B36" t="s">
        <v>25</v>
      </c>
      <c r="C36" t="s">
        <v>76</v>
      </c>
      <c r="D36" t="s">
        <v>77</v>
      </c>
      <c r="E36" t="s">
        <v>93</v>
      </c>
      <c r="F36" t="s">
        <v>29</v>
      </c>
      <c r="G36" t="s">
        <v>30</v>
      </c>
      <c r="H36">
        <v>123456</v>
      </c>
      <c r="I36" s="4">
        <v>46254</v>
      </c>
      <c r="J36" t="s">
        <v>36</v>
      </c>
      <c r="M36" s="4">
        <v>46254</v>
      </c>
      <c r="N36" s="4">
        <v>46254</v>
      </c>
      <c r="O36">
        <v>1</v>
      </c>
      <c r="Q36" t="s">
        <v>32</v>
      </c>
      <c r="T36" s="5">
        <v>8792.73</v>
      </c>
      <c r="U36" s="5">
        <v>0</v>
      </c>
      <c r="V36" s="5">
        <f t="shared" si="0"/>
        <v>8792.73</v>
      </c>
    </row>
    <row r="37" spans="1:22" x14ac:dyDescent="0.3">
      <c r="A37" t="s">
        <v>24</v>
      </c>
      <c r="B37" t="s">
        <v>25</v>
      </c>
      <c r="C37" t="s">
        <v>76</v>
      </c>
      <c r="D37" t="s">
        <v>77</v>
      </c>
      <c r="E37" t="s">
        <v>94</v>
      </c>
      <c r="F37" t="s">
        <v>29</v>
      </c>
      <c r="G37" t="s">
        <v>30</v>
      </c>
      <c r="H37">
        <v>123456</v>
      </c>
      <c r="I37" s="4">
        <v>46254</v>
      </c>
      <c r="J37" t="s">
        <v>44</v>
      </c>
      <c r="M37" s="4">
        <v>46254</v>
      </c>
      <c r="N37" s="4">
        <v>46254</v>
      </c>
      <c r="O37">
        <v>1</v>
      </c>
      <c r="Q37" t="s">
        <v>32</v>
      </c>
      <c r="T37" s="5">
        <v>13512.67</v>
      </c>
      <c r="U37" s="5">
        <v>0</v>
      </c>
      <c r="V37" s="5">
        <f t="shared" si="0"/>
        <v>13512.67</v>
      </c>
    </row>
    <row r="38" spans="1:22" x14ac:dyDescent="0.3">
      <c r="A38" t="s">
        <v>24</v>
      </c>
      <c r="B38" t="s">
        <v>25</v>
      </c>
      <c r="C38" t="s">
        <v>41</v>
      </c>
      <c r="D38" t="s">
        <v>42</v>
      </c>
      <c r="E38" t="s">
        <v>95</v>
      </c>
      <c r="F38" t="s">
        <v>29</v>
      </c>
      <c r="G38" t="s">
        <v>30</v>
      </c>
      <c r="H38">
        <v>123456</v>
      </c>
      <c r="I38" s="4">
        <v>46254</v>
      </c>
      <c r="J38" t="s">
        <v>36</v>
      </c>
      <c r="M38" s="4">
        <v>46254</v>
      </c>
      <c r="N38" s="4">
        <v>46254</v>
      </c>
      <c r="O38">
        <v>1</v>
      </c>
      <c r="Q38" t="s">
        <v>32</v>
      </c>
      <c r="T38" s="5">
        <v>5590.48</v>
      </c>
      <c r="U38" s="5">
        <v>0</v>
      </c>
      <c r="V38" s="5">
        <f t="shared" si="0"/>
        <v>5590.48</v>
      </c>
    </row>
    <row r="39" spans="1:22" x14ac:dyDescent="0.3">
      <c r="A39" t="s">
        <v>24</v>
      </c>
      <c r="B39" t="s">
        <v>25</v>
      </c>
      <c r="C39" t="s">
        <v>33</v>
      </c>
      <c r="D39" t="s">
        <v>34</v>
      </c>
      <c r="E39" t="s">
        <v>96</v>
      </c>
      <c r="F39" t="s">
        <v>29</v>
      </c>
      <c r="G39" t="s">
        <v>30</v>
      </c>
      <c r="H39">
        <v>123456</v>
      </c>
      <c r="I39" s="4">
        <v>46254</v>
      </c>
      <c r="J39" t="s">
        <v>84</v>
      </c>
      <c r="M39" s="4">
        <v>46254</v>
      </c>
      <c r="N39" s="4">
        <v>46254</v>
      </c>
      <c r="O39">
        <v>1</v>
      </c>
      <c r="Q39" t="s">
        <v>32</v>
      </c>
      <c r="T39" s="5">
        <v>4575.7</v>
      </c>
      <c r="U39" s="5">
        <v>0</v>
      </c>
      <c r="V39" s="5">
        <f t="shared" ref="V39:V70" si="1">T39+U39</f>
        <v>4575.7</v>
      </c>
    </row>
    <row r="40" spans="1:22" x14ac:dyDescent="0.3">
      <c r="A40" t="s">
        <v>24</v>
      </c>
      <c r="B40" t="s">
        <v>25</v>
      </c>
      <c r="C40" t="s">
        <v>37</v>
      </c>
      <c r="D40" t="s">
        <v>38</v>
      </c>
      <c r="E40" t="s">
        <v>97</v>
      </c>
      <c r="F40" t="s">
        <v>29</v>
      </c>
      <c r="G40" t="s">
        <v>30</v>
      </c>
      <c r="H40">
        <v>123456</v>
      </c>
      <c r="I40" s="4">
        <v>46254</v>
      </c>
      <c r="J40" t="s">
        <v>62</v>
      </c>
      <c r="M40" s="4">
        <v>46254</v>
      </c>
      <c r="N40" s="4">
        <v>46254</v>
      </c>
      <c r="O40">
        <v>1</v>
      </c>
      <c r="Q40" t="s">
        <v>32</v>
      </c>
      <c r="T40" s="5">
        <v>12539.13</v>
      </c>
      <c r="U40" s="5">
        <v>0</v>
      </c>
      <c r="V40" s="5">
        <f t="shared" si="1"/>
        <v>12539.13</v>
      </c>
    </row>
    <row r="41" spans="1:22" x14ac:dyDescent="0.3">
      <c r="A41" t="s">
        <v>45</v>
      </c>
      <c r="B41" t="s">
        <v>46</v>
      </c>
      <c r="C41" t="s">
        <v>98</v>
      </c>
      <c r="D41" t="s">
        <v>99</v>
      </c>
      <c r="E41" t="s">
        <v>100</v>
      </c>
      <c r="F41" t="s">
        <v>29</v>
      </c>
      <c r="G41" t="s">
        <v>30</v>
      </c>
      <c r="H41">
        <v>123456</v>
      </c>
      <c r="I41" s="4">
        <v>46254</v>
      </c>
      <c r="J41" t="s">
        <v>64</v>
      </c>
      <c r="M41" s="4">
        <v>46254</v>
      </c>
      <c r="N41" s="4">
        <v>46254</v>
      </c>
      <c r="O41">
        <v>1</v>
      </c>
      <c r="Q41" t="s">
        <v>32</v>
      </c>
      <c r="T41" s="5">
        <v>13537.48</v>
      </c>
      <c r="U41" s="5">
        <v>0</v>
      </c>
      <c r="V41" s="5">
        <f t="shared" si="1"/>
        <v>13537.48</v>
      </c>
    </row>
    <row r="42" spans="1:22" x14ac:dyDescent="0.3">
      <c r="A42" t="s">
        <v>45</v>
      </c>
      <c r="B42" t="s">
        <v>46</v>
      </c>
      <c r="C42" t="s">
        <v>58</v>
      </c>
      <c r="D42" t="s">
        <v>59</v>
      </c>
      <c r="E42" t="s">
        <v>101</v>
      </c>
      <c r="F42" t="s">
        <v>29</v>
      </c>
      <c r="G42" t="s">
        <v>30</v>
      </c>
      <c r="H42">
        <v>123456</v>
      </c>
      <c r="I42" s="4">
        <v>46254</v>
      </c>
      <c r="J42" t="s">
        <v>36</v>
      </c>
      <c r="M42" s="4">
        <v>46254</v>
      </c>
      <c r="N42" s="4">
        <v>46254</v>
      </c>
      <c r="O42">
        <v>1</v>
      </c>
      <c r="Q42" t="s">
        <v>32</v>
      </c>
      <c r="T42" s="5">
        <v>10157.379999999999</v>
      </c>
      <c r="U42" s="5">
        <v>0</v>
      </c>
      <c r="V42" s="5">
        <f t="shared" si="1"/>
        <v>10157.379999999999</v>
      </c>
    </row>
    <row r="43" spans="1:22" x14ac:dyDescent="0.3">
      <c r="A43" t="s">
        <v>24</v>
      </c>
      <c r="B43" t="s">
        <v>25</v>
      </c>
      <c r="C43" t="s">
        <v>41</v>
      </c>
      <c r="D43" t="s">
        <v>42</v>
      </c>
      <c r="E43" t="s">
        <v>102</v>
      </c>
      <c r="F43" t="s">
        <v>29</v>
      </c>
      <c r="G43" t="s">
        <v>30</v>
      </c>
      <c r="H43">
        <v>123456</v>
      </c>
      <c r="I43" s="4">
        <v>46254</v>
      </c>
      <c r="J43" t="s">
        <v>84</v>
      </c>
      <c r="M43" s="4">
        <v>46254</v>
      </c>
      <c r="N43" s="4">
        <v>46254</v>
      </c>
      <c r="O43">
        <v>1</v>
      </c>
      <c r="Q43" t="s">
        <v>32</v>
      </c>
      <c r="T43" s="5">
        <v>8719.93</v>
      </c>
      <c r="U43" s="5">
        <v>0</v>
      </c>
      <c r="V43" s="5">
        <f t="shared" si="1"/>
        <v>8719.93</v>
      </c>
    </row>
    <row r="44" spans="1:22" x14ac:dyDescent="0.3">
      <c r="A44" t="s">
        <v>24</v>
      </c>
      <c r="B44" t="s">
        <v>25</v>
      </c>
      <c r="C44" t="s">
        <v>88</v>
      </c>
      <c r="D44" t="s">
        <v>89</v>
      </c>
      <c r="E44" t="s">
        <v>103</v>
      </c>
      <c r="F44" t="s">
        <v>29</v>
      </c>
      <c r="G44" t="s">
        <v>30</v>
      </c>
      <c r="H44">
        <v>123456</v>
      </c>
      <c r="I44" s="4">
        <v>46254</v>
      </c>
      <c r="J44" t="s">
        <v>36</v>
      </c>
      <c r="M44" s="4">
        <v>46254</v>
      </c>
      <c r="N44" s="4">
        <v>46254</v>
      </c>
      <c r="O44">
        <v>1</v>
      </c>
      <c r="Q44" t="s">
        <v>32</v>
      </c>
      <c r="T44" s="5">
        <v>2803.12</v>
      </c>
      <c r="U44" s="5">
        <v>0</v>
      </c>
      <c r="V44" s="5">
        <f t="shared" si="1"/>
        <v>2803.12</v>
      </c>
    </row>
    <row r="45" spans="1:22" x14ac:dyDescent="0.3">
      <c r="A45" t="s">
        <v>24</v>
      </c>
      <c r="B45" t="s">
        <v>25</v>
      </c>
      <c r="C45" t="s">
        <v>50</v>
      </c>
      <c r="D45" t="s">
        <v>51</v>
      </c>
      <c r="E45" t="s">
        <v>104</v>
      </c>
      <c r="F45" t="s">
        <v>29</v>
      </c>
      <c r="G45" t="s">
        <v>30</v>
      </c>
      <c r="H45">
        <v>123456</v>
      </c>
      <c r="I45" s="4">
        <v>46254</v>
      </c>
      <c r="J45" t="s">
        <v>62</v>
      </c>
      <c r="M45" s="4">
        <v>46254</v>
      </c>
      <c r="N45" s="4">
        <v>46254</v>
      </c>
      <c r="O45">
        <v>1</v>
      </c>
      <c r="Q45" t="s">
        <v>32</v>
      </c>
      <c r="T45" s="5">
        <v>4896.01</v>
      </c>
      <c r="U45" s="5">
        <v>0</v>
      </c>
      <c r="V45" s="5">
        <f t="shared" si="1"/>
        <v>4896.01</v>
      </c>
    </row>
    <row r="46" spans="1:22" x14ac:dyDescent="0.3">
      <c r="A46" t="s">
        <v>24</v>
      </c>
      <c r="B46" t="s">
        <v>25</v>
      </c>
      <c r="C46" t="s">
        <v>66</v>
      </c>
      <c r="D46" t="s">
        <v>67</v>
      </c>
      <c r="E46" t="s">
        <v>105</v>
      </c>
      <c r="F46" t="s">
        <v>29</v>
      </c>
      <c r="G46" t="s">
        <v>30</v>
      </c>
      <c r="H46">
        <v>123456</v>
      </c>
      <c r="I46" s="4">
        <v>46254</v>
      </c>
      <c r="J46" t="s">
        <v>84</v>
      </c>
      <c r="M46" s="4">
        <v>46254</v>
      </c>
      <c r="N46" s="4">
        <v>46254</v>
      </c>
      <c r="O46">
        <v>1</v>
      </c>
      <c r="Q46" t="s">
        <v>32</v>
      </c>
      <c r="T46" s="5">
        <v>4304.21</v>
      </c>
      <c r="U46" s="5">
        <v>0</v>
      </c>
      <c r="V46" s="5">
        <f t="shared" si="1"/>
        <v>4304.21</v>
      </c>
    </row>
    <row r="47" spans="1:22" x14ac:dyDescent="0.3">
      <c r="A47" t="s">
        <v>24</v>
      </c>
      <c r="B47" t="s">
        <v>25</v>
      </c>
      <c r="C47" t="s">
        <v>50</v>
      </c>
      <c r="D47" t="s">
        <v>51</v>
      </c>
      <c r="E47" t="s">
        <v>106</v>
      </c>
      <c r="F47" t="s">
        <v>29</v>
      </c>
      <c r="G47" t="s">
        <v>30</v>
      </c>
      <c r="H47">
        <v>123456</v>
      </c>
      <c r="I47" s="4">
        <v>46254</v>
      </c>
      <c r="J47" t="s">
        <v>36</v>
      </c>
      <c r="M47" s="4">
        <v>46254</v>
      </c>
      <c r="N47" s="4">
        <v>46254</v>
      </c>
      <c r="O47">
        <v>1</v>
      </c>
      <c r="Q47" t="s">
        <v>32</v>
      </c>
      <c r="T47" s="5">
        <v>2432.29</v>
      </c>
      <c r="U47" s="5">
        <v>0</v>
      </c>
      <c r="V47" s="5">
        <f t="shared" si="1"/>
        <v>2432.29</v>
      </c>
    </row>
    <row r="48" spans="1:22" x14ac:dyDescent="0.3">
      <c r="A48" t="s">
        <v>24</v>
      </c>
      <c r="B48" t="s">
        <v>25</v>
      </c>
      <c r="C48" t="s">
        <v>88</v>
      </c>
      <c r="D48" t="s">
        <v>89</v>
      </c>
      <c r="E48" t="s">
        <v>107</v>
      </c>
      <c r="F48" t="s">
        <v>29</v>
      </c>
      <c r="G48" t="s">
        <v>30</v>
      </c>
      <c r="H48">
        <v>123456</v>
      </c>
      <c r="I48" s="4">
        <v>46254</v>
      </c>
      <c r="J48" t="s">
        <v>44</v>
      </c>
      <c r="M48" s="4">
        <v>46254</v>
      </c>
      <c r="N48" s="4">
        <v>46254</v>
      </c>
      <c r="O48">
        <v>1</v>
      </c>
      <c r="Q48" t="s">
        <v>32</v>
      </c>
      <c r="T48" s="5">
        <v>5964.26</v>
      </c>
      <c r="U48" s="5">
        <v>0</v>
      </c>
      <c r="V48" s="5">
        <f t="shared" si="1"/>
        <v>5964.26</v>
      </c>
    </row>
    <row r="49" spans="1:22" x14ac:dyDescent="0.3">
      <c r="A49" t="s">
        <v>24</v>
      </c>
      <c r="B49" t="s">
        <v>25</v>
      </c>
      <c r="C49" t="s">
        <v>54</v>
      </c>
      <c r="D49" t="s">
        <v>55</v>
      </c>
      <c r="E49" t="s">
        <v>108</v>
      </c>
      <c r="F49" t="s">
        <v>29</v>
      </c>
      <c r="G49" t="s">
        <v>30</v>
      </c>
      <c r="H49">
        <v>123456</v>
      </c>
      <c r="I49" s="4">
        <v>46254</v>
      </c>
      <c r="J49" t="s">
        <v>64</v>
      </c>
      <c r="M49" s="4">
        <v>46254</v>
      </c>
      <c r="N49" s="4">
        <v>46254</v>
      </c>
      <c r="O49">
        <v>1</v>
      </c>
      <c r="Q49" t="s">
        <v>32</v>
      </c>
      <c r="T49" s="5">
        <v>13396.29</v>
      </c>
      <c r="U49" s="5">
        <v>0</v>
      </c>
      <c r="V49" s="5">
        <f t="shared" si="1"/>
        <v>13396.29</v>
      </c>
    </row>
    <row r="50" spans="1:22" x14ac:dyDescent="0.3">
      <c r="A50" t="s">
        <v>24</v>
      </c>
      <c r="B50" t="s">
        <v>25</v>
      </c>
      <c r="C50" t="s">
        <v>88</v>
      </c>
      <c r="D50" t="s">
        <v>89</v>
      </c>
      <c r="E50" t="s">
        <v>109</v>
      </c>
      <c r="F50" t="s">
        <v>29</v>
      </c>
      <c r="G50" t="s">
        <v>30</v>
      </c>
      <c r="H50">
        <v>123456</v>
      </c>
      <c r="I50" s="4">
        <v>46254</v>
      </c>
      <c r="J50" t="s">
        <v>84</v>
      </c>
      <c r="M50" s="4">
        <v>46254</v>
      </c>
      <c r="N50" s="4">
        <v>46254</v>
      </c>
      <c r="O50">
        <v>1</v>
      </c>
      <c r="Q50" t="s">
        <v>32</v>
      </c>
      <c r="T50" s="5">
        <v>2642.66</v>
      </c>
      <c r="U50" s="5">
        <v>0</v>
      </c>
      <c r="V50" s="5">
        <f t="shared" si="1"/>
        <v>2642.66</v>
      </c>
    </row>
    <row r="51" spans="1:22" x14ac:dyDescent="0.3">
      <c r="A51" t="s">
        <v>24</v>
      </c>
      <c r="B51" t="s">
        <v>25</v>
      </c>
      <c r="C51" t="s">
        <v>66</v>
      </c>
      <c r="D51" t="s">
        <v>67</v>
      </c>
      <c r="E51" t="s">
        <v>110</v>
      </c>
      <c r="F51" t="s">
        <v>29</v>
      </c>
      <c r="G51" t="s">
        <v>30</v>
      </c>
      <c r="H51">
        <v>123456</v>
      </c>
      <c r="I51" s="4">
        <v>46254</v>
      </c>
      <c r="J51" t="s">
        <v>44</v>
      </c>
      <c r="M51" s="4">
        <v>46254</v>
      </c>
      <c r="N51" s="4">
        <v>46254</v>
      </c>
      <c r="O51">
        <v>1</v>
      </c>
      <c r="Q51" t="s">
        <v>32</v>
      </c>
      <c r="T51" s="5">
        <v>2208.35</v>
      </c>
      <c r="U51" s="5">
        <v>0</v>
      </c>
      <c r="V51" s="5">
        <f t="shared" si="1"/>
        <v>2208.35</v>
      </c>
    </row>
    <row r="52" spans="1:22" x14ac:dyDescent="0.3">
      <c r="A52" t="s">
        <v>24</v>
      </c>
      <c r="B52" t="s">
        <v>25</v>
      </c>
      <c r="C52" t="s">
        <v>66</v>
      </c>
      <c r="D52" t="s">
        <v>67</v>
      </c>
      <c r="E52" t="s">
        <v>111</v>
      </c>
      <c r="F52" t="s">
        <v>29</v>
      </c>
      <c r="G52" t="s">
        <v>30</v>
      </c>
      <c r="H52">
        <v>123456</v>
      </c>
      <c r="I52" s="4">
        <v>46254</v>
      </c>
      <c r="J52" t="s">
        <v>64</v>
      </c>
      <c r="M52" s="4">
        <v>46254</v>
      </c>
      <c r="N52" s="4">
        <v>46254</v>
      </c>
      <c r="O52">
        <v>1</v>
      </c>
      <c r="Q52" t="s">
        <v>32</v>
      </c>
      <c r="T52" s="5">
        <v>14277.82</v>
      </c>
      <c r="U52" s="5">
        <v>0</v>
      </c>
      <c r="V52" s="5">
        <f t="shared" si="1"/>
        <v>14277.82</v>
      </c>
    </row>
    <row r="53" spans="1:22" x14ac:dyDescent="0.3">
      <c r="A53" t="s">
        <v>24</v>
      </c>
      <c r="B53" t="s">
        <v>25</v>
      </c>
      <c r="C53" t="s">
        <v>88</v>
      </c>
      <c r="D53" t="s">
        <v>89</v>
      </c>
      <c r="E53" t="s">
        <v>112</v>
      </c>
      <c r="F53" t="s">
        <v>29</v>
      </c>
      <c r="G53" t="s">
        <v>30</v>
      </c>
      <c r="H53">
        <v>123456</v>
      </c>
      <c r="I53" s="4">
        <v>46254</v>
      </c>
      <c r="J53" t="s">
        <v>84</v>
      </c>
      <c r="M53" s="4">
        <v>46254</v>
      </c>
      <c r="N53" s="4">
        <v>46254</v>
      </c>
      <c r="O53">
        <v>1</v>
      </c>
      <c r="Q53" t="s">
        <v>32</v>
      </c>
      <c r="T53" s="5">
        <v>795.82</v>
      </c>
      <c r="U53" s="5">
        <v>0</v>
      </c>
      <c r="V53" s="5">
        <f t="shared" si="1"/>
        <v>795.82</v>
      </c>
    </row>
    <row r="54" spans="1:22" x14ac:dyDescent="0.3">
      <c r="A54" t="s">
        <v>24</v>
      </c>
      <c r="B54" t="s">
        <v>25</v>
      </c>
      <c r="C54" t="s">
        <v>26</v>
      </c>
      <c r="D54" t="s">
        <v>27</v>
      </c>
      <c r="E54" t="s">
        <v>113</v>
      </c>
      <c r="F54" t="s">
        <v>29</v>
      </c>
      <c r="G54" t="s">
        <v>30</v>
      </c>
      <c r="H54">
        <v>123456</v>
      </c>
      <c r="I54" s="4">
        <v>46254</v>
      </c>
      <c r="J54" t="s">
        <v>36</v>
      </c>
      <c r="M54" s="4">
        <v>46254</v>
      </c>
      <c r="N54" s="4">
        <v>46254</v>
      </c>
      <c r="O54">
        <v>1</v>
      </c>
      <c r="Q54" t="s">
        <v>32</v>
      </c>
      <c r="T54" s="5">
        <v>7082.5</v>
      </c>
      <c r="U54" s="5">
        <v>0</v>
      </c>
      <c r="V54" s="5">
        <f t="shared" si="1"/>
        <v>7082.5</v>
      </c>
    </row>
    <row r="55" spans="1:22" x14ac:dyDescent="0.3">
      <c r="A55" t="s">
        <v>24</v>
      </c>
      <c r="B55" t="s">
        <v>25</v>
      </c>
      <c r="C55" t="s">
        <v>76</v>
      </c>
      <c r="D55" t="s">
        <v>77</v>
      </c>
      <c r="E55" t="s">
        <v>114</v>
      </c>
      <c r="F55" t="s">
        <v>29</v>
      </c>
      <c r="G55" t="s">
        <v>30</v>
      </c>
      <c r="H55">
        <v>123456</v>
      </c>
      <c r="I55" s="4">
        <v>46254</v>
      </c>
      <c r="J55" t="s">
        <v>31</v>
      </c>
      <c r="M55" s="4">
        <v>46254</v>
      </c>
      <c r="N55" s="4">
        <v>46254</v>
      </c>
      <c r="O55">
        <v>1</v>
      </c>
      <c r="Q55" t="s">
        <v>32</v>
      </c>
      <c r="T55" s="5">
        <v>13947.53</v>
      </c>
      <c r="U55" s="5">
        <v>0</v>
      </c>
      <c r="V55" s="5">
        <f t="shared" si="1"/>
        <v>13947.53</v>
      </c>
    </row>
    <row r="56" spans="1:22" x14ac:dyDescent="0.3">
      <c r="A56" t="s">
        <v>24</v>
      </c>
      <c r="B56" t="s">
        <v>25</v>
      </c>
      <c r="C56" t="s">
        <v>54</v>
      </c>
      <c r="D56" t="s">
        <v>55</v>
      </c>
      <c r="E56" t="s">
        <v>115</v>
      </c>
      <c r="F56" t="s">
        <v>29</v>
      </c>
      <c r="G56" t="s">
        <v>30</v>
      </c>
      <c r="H56">
        <v>123456</v>
      </c>
      <c r="I56" s="4">
        <v>46254</v>
      </c>
      <c r="J56" t="s">
        <v>64</v>
      </c>
      <c r="M56" s="4">
        <v>46254</v>
      </c>
      <c r="N56" s="4">
        <v>46254</v>
      </c>
      <c r="O56">
        <v>1</v>
      </c>
      <c r="Q56" t="s">
        <v>32</v>
      </c>
      <c r="T56" s="5">
        <v>10327.030000000001</v>
      </c>
      <c r="U56" s="5">
        <v>0</v>
      </c>
      <c r="V56" s="5">
        <f t="shared" si="1"/>
        <v>10327.030000000001</v>
      </c>
    </row>
    <row r="57" spans="1:22" x14ac:dyDescent="0.3">
      <c r="A57" t="s">
        <v>24</v>
      </c>
      <c r="B57" t="s">
        <v>25</v>
      </c>
      <c r="C57" t="s">
        <v>33</v>
      </c>
      <c r="D57" t="s">
        <v>34</v>
      </c>
      <c r="E57" t="s">
        <v>116</v>
      </c>
      <c r="F57" t="s">
        <v>29</v>
      </c>
      <c r="G57" t="s">
        <v>30</v>
      </c>
      <c r="H57">
        <v>123456</v>
      </c>
      <c r="I57" s="4">
        <v>46254</v>
      </c>
      <c r="J57" t="s">
        <v>64</v>
      </c>
      <c r="M57" s="4">
        <v>46254</v>
      </c>
      <c r="N57" s="4">
        <v>46254</v>
      </c>
      <c r="O57">
        <v>1</v>
      </c>
      <c r="Q57" t="s">
        <v>32</v>
      </c>
      <c r="T57" s="5">
        <v>7454.99</v>
      </c>
      <c r="U57" s="5">
        <v>0</v>
      </c>
      <c r="V57" s="5">
        <f t="shared" si="1"/>
        <v>7454.99</v>
      </c>
    </row>
    <row r="58" spans="1:22" x14ac:dyDescent="0.3">
      <c r="A58" t="s">
        <v>24</v>
      </c>
      <c r="B58" t="s">
        <v>25</v>
      </c>
      <c r="C58" t="s">
        <v>88</v>
      </c>
      <c r="D58" t="s">
        <v>89</v>
      </c>
      <c r="E58" t="s">
        <v>117</v>
      </c>
      <c r="F58" t="s">
        <v>29</v>
      </c>
      <c r="G58" t="s">
        <v>30</v>
      </c>
      <c r="H58">
        <v>123456</v>
      </c>
      <c r="I58" s="4">
        <v>46254</v>
      </c>
      <c r="J58" t="s">
        <v>64</v>
      </c>
      <c r="M58" s="4">
        <v>46254</v>
      </c>
      <c r="N58" s="4">
        <v>46254</v>
      </c>
      <c r="O58">
        <v>1</v>
      </c>
      <c r="Q58" t="s">
        <v>32</v>
      </c>
      <c r="T58" s="5">
        <v>13810.34</v>
      </c>
      <c r="U58" s="5">
        <v>0</v>
      </c>
      <c r="V58" s="5">
        <f t="shared" si="1"/>
        <v>13810.34</v>
      </c>
    </row>
    <row r="59" spans="1:22" x14ac:dyDescent="0.3">
      <c r="A59" t="s">
        <v>24</v>
      </c>
      <c r="B59" t="s">
        <v>25</v>
      </c>
      <c r="C59" t="s">
        <v>66</v>
      </c>
      <c r="D59" t="s">
        <v>67</v>
      </c>
      <c r="E59" t="s">
        <v>118</v>
      </c>
      <c r="F59" t="s">
        <v>29</v>
      </c>
      <c r="G59" t="s">
        <v>30</v>
      </c>
      <c r="H59">
        <v>123456</v>
      </c>
      <c r="I59" s="4">
        <v>46254</v>
      </c>
      <c r="J59" t="s">
        <v>36</v>
      </c>
      <c r="M59" s="4">
        <v>46254</v>
      </c>
      <c r="N59" s="4">
        <v>46254</v>
      </c>
      <c r="O59">
        <v>1</v>
      </c>
      <c r="Q59" t="s">
        <v>32</v>
      </c>
      <c r="T59" s="5">
        <v>11307.05</v>
      </c>
      <c r="U59" s="5">
        <v>0</v>
      </c>
      <c r="V59" s="5">
        <f t="shared" si="1"/>
        <v>11307.05</v>
      </c>
    </row>
    <row r="60" spans="1:22" x14ac:dyDescent="0.3">
      <c r="A60" t="s">
        <v>24</v>
      </c>
      <c r="B60" t="s">
        <v>25</v>
      </c>
      <c r="C60" t="s">
        <v>54</v>
      </c>
      <c r="D60" t="s">
        <v>55</v>
      </c>
      <c r="E60" t="s">
        <v>119</v>
      </c>
      <c r="F60" t="s">
        <v>29</v>
      </c>
      <c r="G60" t="s">
        <v>30</v>
      </c>
      <c r="H60">
        <v>123456</v>
      </c>
      <c r="I60" s="4">
        <v>46254</v>
      </c>
      <c r="J60" t="s">
        <v>62</v>
      </c>
      <c r="M60" s="4">
        <v>46254</v>
      </c>
      <c r="N60" s="4">
        <v>46254</v>
      </c>
      <c r="O60">
        <v>1</v>
      </c>
      <c r="Q60" t="s">
        <v>32</v>
      </c>
      <c r="T60" s="5">
        <v>10577.52</v>
      </c>
      <c r="U60" s="5">
        <v>0</v>
      </c>
      <c r="V60" s="5">
        <f t="shared" si="1"/>
        <v>10577.52</v>
      </c>
    </row>
    <row r="61" spans="1:22" x14ac:dyDescent="0.3">
      <c r="A61" t="s">
        <v>24</v>
      </c>
      <c r="B61" t="s">
        <v>25</v>
      </c>
      <c r="C61" t="s">
        <v>76</v>
      </c>
      <c r="D61" t="s">
        <v>77</v>
      </c>
      <c r="E61" t="s">
        <v>120</v>
      </c>
      <c r="F61" t="s">
        <v>29</v>
      </c>
      <c r="G61" t="s">
        <v>30</v>
      </c>
      <c r="H61">
        <v>123456</v>
      </c>
      <c r="I61" s="4">
        <v>46254</v>
      </c>
      <c r="J61" t="s">
        <v>44</v>
      </c>
      <c r="M61" s="4">
        <v>46254</v>
      </c>
      <c r="N61" s="4">
        <v>46254</v>
      </c>
      <c r="O61">
        <v>1</v>
      </c>
      <c r="Q61" t="s">
        <v>32</v>
      </c>
      <c r="T61" s="5">
        <v>9759.36</v>
      </c>
      <c r="U61" s="5">
        <v>0</v>
      </c>
      <c r="V61" s="5">
        <f t="shared" si="1"/>
        <v>9759.36</v>
      </c>
    </row>
    <row r="62" spans="1:22" x14ac:dyDescent="0.3">
      <c r="A62" t="s">
        <v>24</v>
      </c>
      <c r="B62" t="s">
        <v>25</v>
      </c>
      <c r="C62" t="s">
        <v>66</v>
      </c>
      <c r="D62" t="s">
        <v>67</v>
      </c>
      <c r="E62" t="s">
        <v>121</v>
      </c>
      <c r="F62" t="s">
        <v>29</v>
      </c>
      <c r="G62" t="s">
        <v>30</v>
      </c>
      <c r="H62">
        <v>123456</v>
      </c>
      <c r="I62" s="4">
        <v>46254</v>
      </c>
      <c r="J62" t="s">
        <v>62</v>
      </c>
      <c r="M62" s="4">
        <v>46254</v>
      </c>
      <c r="N62" s="4">
        <v>46254</v>
      </c>
      <c r="O62">
        <v>1</v>
      </c>
      <c r="Q62" t="s">
        <v>32</v>
      </c>
      <c r="T62" s="5">
        <v>5287.61</v>
      </c>
      <c r="U62" s="5">
        <v>0</v>
      </c>
      <c r="V62" s="5">
        <f t="shared" si="1"/>
        <v>5287.61</v>
      </c>
    </row>
    <row r="63" spans="1:22" x14ac:dyDescent="0.3">
      <c r="A63" t="s">
        <v>24</v>
      </c>
      <c r="B63" t="s">
        <v>25</v>
      </c>
      <c r="C63" t="s">
        <v>50</v>
      </c>
      <c r="D63" t="s">
        <v>51</v>
      </c>
      <c r="E63" t="s">
        <v>122</v>
      </c>
      <c r="F63" t="s">
        <v>29</v>
      </c>
      <c r="G63" t="s">
        <v>30</v>
      </c>
      <c r="H63">
        <v>123456</v>
      </c>
      <c r="I63" s="4">
        <v>46254</v>
      </c>
      <c r="J63" t="s">
        <v>64</v>
      </c>
      <c r="M63" s="4">
        <v>46254</v>
      </c>
      <c r="N63" s="4">
        <v>46254</v>
      </c>
      <c r="O63">
        <v>1</v>
      </c>
      <c r="Q63" t="s">
        <v>32</v>
      </c>
      <c r="T63" s="5">
        <v>10414.42</v>
      </c>
      <c r="U63" s="5">
        <v>0</v>
      </c>
      <c r="V63" s="5">
        <f t="shared" si="1"/>
        <v>10414.42</v>
      </c>
    </row>
    <row r="64" spans="1:22" x14ac:dyDescent="0.3">
      <c r="A64" t="s">
        <v>24</v>
      </c>
      <c r="B64" t="s">
        <v>25</v>
      </c>
      <c r="C64" t="s">
        <v>41</v>
      </c>
      <c r="D64" t="s">
        <v>42</v>
      </c>
      <c r="E64" t="s">
        <v>123</v>
      </c>
      <c r="F64" t="s">
        <v>29</v>
      </c>
      <c r="G64" t="s">
        <v>30</v>
      </c>
      <c r="H64">
        <v>123456</v>
      </c>
      <c r="I64" s="4">
        <v>46254</v>
      </c>
      <c r="J64" t="s">
        <v>64</v>
      </c>
      <c r="M64" s="4">
        <v>46254</v>
      </c>
      <c r="N64" s="4">
        <v>46254</v>
      </c>
      <c r="O64">
        <v>1</v>
      </c>
      <c r="Q64" t="s">
        <v>32</v>
      </c>
      <c r="T64" s="5">
        <v>3072.94</v>
      </c>
      <c r="U64" s="5">
        <v>0</v>
      </c>
      <c r="V64" s="5">
        <f t="shared" si="1"/>
        <v>3072.94</v>
      </c>
    </row>
    <row r="65" spans="1:22" x14ac:dyDescent="0.3">
      <c r="A65" t="s">
        <v>24</v>
      </c>
      <c r="B65" t="s">
        <v>25</v>
      </c>
      <c r="C65" t="s">
        <v>41</v>
      </c>
      <c r="D65" t="s">
        <v>42</v>
      </c>
      <c r="E65" t="s">
        <v>124</v>
      </c>
      <c r="F65" t="s">
        <v>29</v>
      </c>
      <c r="G65" t="s">
        <v>30</v>
      </c>
      <c r="H65">
        <v>123456</v>
      </c>
      <c r="I65" s="4">
        <v>46254</v>
      </c>
      <c r="J65" t="s">
        <v>36</v>
      </c>
      <c r="M65" s="4">
        <v>46254</v>
      </c>
      <c r="N65" s="4">
        <v>46254</v>
      </c>
      <c r="O65">
        <v>1</v>
      </c>
      <c r="Q65" t="s">
        <v>32</v>
      </c>
      <c r="T65" s="5">
        <v>9640.4699999999993</v>
      </c>
      <c r="U65" s="5">
        <v>0</v>
      </c>
      <c r="V65" s="5">
        <f t="shared" si="1"/>
        <v>9640.4699999999993</v>
      </c>
    </row>
    <row r="66" spans="1:22" x14ac:dyDescent="0.3">
      <c r="A66" t="s">
        <v>24</v>
      </c>
      <c r="B66" t="s">
        <v>25</v>
      </c>
      <c r="C66" t="s">
        <v>66</v>
      </c>
      <c r="D66" t="s">
        <v>67</v>
      </c>
      <c r="E66" t="s">
        <v>125</v>
      </c>
      <c r="F66" t="s">
        <v>29</v>
      </c>
      <c r="G66" t="s">
        <v>30</v>
      </c>
      <c r="H66">
        <v>123456</v>
      </c>
      <c r="I66" s="4">
        <v>46254</v>
      </c>
      <c r="J66" t="s">
        <v>64</v>
      </c>
      <c r="M66" s="4">
        <v>46254</v>
      </c>
      <c r="N66" s="4">
        <v>46254</v>
      </c>
      <c r="O66">
        <v>1</v>
      </c>
      <c r="Q66" t="s">
        <v>32</v>
      </c>
      <c r="T66" s="5">
        <v>7270.39</v>
      </c>
      <c r="U66" s="5">
        <v>0</v>
      </c>
      <c r="V66" s="5">
        <f t="shared" si="1"/>
        <v>7270.39</v>
      </c>
    </row>
    <row r="67" spans="1:22" x14ac:dyDescent="0.3">
      <c r="A67" t="s">
        <v>24</v>
      </c>
      <c r="B67" t="s">
        <v>25</v>
      </c>
      <c r="C67" t="s">
        <v>33</v>
      </c>
      <c r="D67" t="s">
        <v>34</v>
      </c>
      <c r="E67" t="s">
        <v>126</v>
      </c>
      <c r="F67" t="s">
        <v>29</v>
      </c>
      <c r="G67" t="s">
        <v>30</v>
      </c>
      <c r="H67">
        <v>123456</v>
      </c>
      <c r="I67" s="4">
        <v>46254</v>
      </c>
      <c r="J67" t="s">
        <v>36</v>
      </c>
      <c r="M67" s="4">
        <v>46254</v>
      </c>
      <c r="N67" s="4">
        <v>46254</v>
      </c>
      <c r="O67">
        <v>1</v>
      </c>
      <c r="Q67" t="s">
        <v>32</v>
      </c>
      <c r="T67" s="5">
        <v>1953.08</v>
      </c>
      <c r="U67" s="5">
        <v>0</v>
      </c>
      <c r="V67" s="5">
        <f t="shared" si="1"/>
        <v>1953.08</v>
      </c>
    </row>
    <row r="68" spans="1:22" x14ac:dyDescent="0.3">
      <c r="A68" t="s">
        <v>24</v>
      </c>
      <c r="B68" t="s">
        <v>25</v>
      </c>
      <c r="C68" t="s">
        <v>88</v>
      </c>
      <c r="D68" t="s">
        <v>89</v>
      </c>
      <c r="E68" t="s">
        <v>127</v>
      </c>
      <c r="F68" t="s">
        <v>29</v>
      </c>
      <c r="G68" t="s">
        <v>30</v>
      </c>
      <c r="H68">
        <v>123456</v>
      </c>
      <c r="I68" s="4">
        <v>46254</v>
      </c>
      <c r="J68" t="s">
        <v>62</v>
      </c>
      <c r="M68" s="4">
        <v>46254</v>
      </c>
      <c r="N68" s="4">
        <v>46254</v>
      </c>
      <c r="O68">
        <v>1</v>
      </c>
      <c r="Q68" t="s">
        <v>32</v>
      </c>
      <c r="T68" s="5">
        <v>9391.2000000000007</v>
      </c>
      <c r="U68" s="5">
        <v>0</v>
      </c>
      <c r="V68" s="5">
        <f t="shared" si="1"/>
        <v>9391.2000000000007</v>
      </c>
    </row>
    <row r="69" spans="1:22" x14ac:dyDescent="0.3">
      <c r="A69" t="s">
        <v>24</v>
      </c>
      <c r="B69" t="s">
        <v>25</v>
      </c>
      <c r="C69" t="s">
        <v>54</v>
      </c>
      <c r="D69" t="s">
        <v>55</v>
      </c>
      <c r="E69" t="s">
        <v>128</v>
      </c>
      <c r="F69" t="s">
        <v>29</v>
      </c>
      <c r="G69" t="s">
        <v>30</v>
      </c>
      <c r="H69">
        <v>123456</v>
      </c>
      <c r="I69" s="4">
        <v>46254</v>
      </c>
      <c r="J69" t="s">
        <v>31</v>
      </c>
      <c r="M69" s="4">
        <v>46254</v>
      </c>
      <c r="N69" s="4">
        <v>46254</v>
      </c>
      <c r="O69">
        <v>1</v>
      </c>
      <c r="Q69" t="s">
        <v>32</v>
      </c>
      <c r="T69" s="5">
        <v>2516.6799999999998</v>
      </c>
      <c r="U69" s="5">
        <v>0</v>
      </c>
      <c r="V69" s="5">
        <f t="shared" si="1"/>
        <v>2516.6799999999998</v>
      </c>
    </row>
    <row r="70" spans="1:22" x14ac:dyDescent="0.3">
      <c r="A70" t="s">
        <v>45</v>
      </c>
      <c r="B70" t="s">
        <v>46</v>
      </c>
      <c r="C70" t="s">
        <v>129</v>
      </c>
      <c r="D70" t="s">
        <v>130</v>
      </c>
      <c r="E70" t="s">
        <v>131</v>
      </c>
      <c r="F70" t="s">
        <v>29</v>
      </c>
      <c r="G70" t="s">
        <v>30</v>
      </c>
      <c r="H70">
        <v>123456</v>
      </c>
      <c r="I70" s="4">
        <v>46254</v>
      </c>
      <c r="J70" t="s">
        <v>36</v>
      </c>
      <c r="M70" s="4">
        <v>46254</v>
      </c>
      <c r="N70" s="4">
        <v>46254</v>
      </c>
      <c r="O70">
        <v>1</v>
      </c>
      <c r="Q70" t="s">
        <v>32</v>
      </c>
      <c r="T70" s="5">
        <v>13873.88</v>
      </c>
      <c r="U70" s="5">
        <v>0</v>
      </c>
      <c r="V70" s="5">
        <f t="shared" si="1"/>
        <v>13873.88</v>
      </c>
    </row>
    <row r="71" spans="1:22" x14ac:dyDescent="0.3">
      <c r="A71" t="s">
        <v>24</v>
      </c>
      <c r="B71" t="s">
        <v>25</v>
      </c>
      <c r="C71" t="s">
        <v>54</v>
      </c>
      <c r="D71" t="s">
        <v>55</v>
      </c>
      <c r="E71" t="s">
        <v>132</v>
      </c>
      <c r="F71" t="s">
        <v>29</v>
      </c>
      <c r="G71" t="s">
        <v>30</v>
      </c>
      <c r="H71">
        <v>123456</v>
      </c>
      <c r="I71" s="4">
        <v>46254</v>
      </c>
      <c r="J71" t="s">
        <v>36</v>
      </c>
      <c r="M71" s="4">
        <v>46254</v>
      </c>
      <c r="N71" s="4">
        <v>46254</v>
      </c>
      <c r="O71">
        <v>1</v>
      </c>
      <c r="Q71" t="s">
        <v>32</v>
      </c>
      <c r="T71" s="5">
        <v>11930.9</v>
      </c>
      <c r="U71" s="5">
        <v>0</v>
      </c>
      <c r="V71" s="5">
        <f t="shared" ref="V71:V102" si="2">T71+U71</f>
        <v>11930.9</v>
      </c>
    </row>
    <row r="72" spans="1:22" x14ac:dyDescent="0.3">
      <c r="A72" t="s">
        <v>24</v>
      </c>
      <c r="B72" t="s">
        <v>25</v>
      </c>
      <c r="C72" t="s">
        <v>54</v>
      </c>
      <c r="D72" t="s">
        <v>55</v>
      </c>
      <c r="E72" t="s">
        <v>133</v>
      </c>
      <c r="F72" t="s">
        <v>29</v>
      </c>
      <c r="G72" t="s">
        <v>30</v>
      </c>
      <c r="H72">
        <v>123456</v>
      </c>
      <c r="I72" s="4">
        <v>46254</v>
      </c>
      <c r="J72" t="s">
        <v>62</v>
      </c>
      <c r="M72" s="4">
        <v>46254</v>
      </c>
      <c r="N72" s="4">
        <v>46254</v>
      </c>
      <c r="O72">
        <v>1</v>
      </c>
      <c r="Q72" t="s">
        <v>32</v>
      </c>
      <c r="T72" s="5">
        <v>789.94</v>
      </c>
      <c r="U72" s="5">
        <v>0</v>
      </c>
      <c r="V72" s="5">
        <f t="shared" si="2"/>
        <v>789.94</v>
      </c>
    </row>
    <row r="73" spans="1:22" x14ac:dyDescent="0.3">
      <c r="A73" t="s">
        <v>24</v>
      </c>
      <c r="B73" t="s">
        <v>25</v>
      </c>
      <c r="C73" t="s">
        <v>88</v>
      </c>
      <c r="D73" t="s">
        <v>89</v>
      </c>
      <c r="E73" t="s">
        <v>134</v>
      </c>
      <c r="F73" t="s">
        <v>29</v>
      </c>
      <c r="G73" t="s">
        <v>30</v>
      </c>
      <c r="H73">
        <v>123456</v>
      </c>
      <c r="I73" s="4">
        <v>46254</v>
      </c>
      <c r="J73" t="s">
        <v>64</v>
      </c>
      <c r="M73" s="4">
        <v>46254</v>
      </c>
      <c r="N73" s="4">
        <v>46254</v>
      </c>
      <c r="O73">
        <v>1</v>
      </c>
      <c r="Q73" t="s">
        <v>32</v>
      </c>
      <c r="T73" s="5">
        <v>10149.77</v>
      </c>
      <c r="U73" s="5">
        <v>0</v>
      </c>
      <c r="V73" s="5">
        <f t="shared" si="2"/>
        <v>10149.77</v>
      </c>
    </row>
    <row r="74" spans="1:22" x14ac:dyDescent="0.3">
      <c r="A74" t="s">
        <v>24</v>
      </c>
      <c r="B74" t="s">
        <v>25</v>
      </c>
      <c r="C74" t="s">
        <v>76</v>
      </c>
      <c r="D74" t="s">
        <v>77</v>
      </c>
      <c r="E74" t="s">
        <v>135</v>
      </c>
      <c r="F74" t="s">
        <v>29</v>
      </c>
      <c r="G74" t="s">
        <v>30</v>
      </c>
      <c r="H74">
        <v>123456</v>
      </c>
      <c r="I74" s="4">
        <v>46254</v>
      </c>
      <c r="J74" t="s">
        <v>44</v>
      </c>
      <c r="M74" s="4">
        <v>46254</v>
      </c>
      <c r="N74" s="4">
        <v>46254</v>
      </c>
      <c r="O74">
        <v>1</v>
      </c>
      <c r="Q74" t="s">
        <v>32</v>
      </c>
      <c r="T74" s="5">
        <v>9594.81</v>
      </c>
      <c r="U74" s="5">
        <v>0</v>
      </c>
      <c r="V74" s="5">
        <f t="shared" si="2"/>
        <v>9594.81</v>
      </c>
    </row>
    <row r="75" spans="1:22" x14ac:dyDescent="0.3">
      <c r="A75" t="s">
        <v>24</v>
      </c>
      <c r="B75" t="s">
        <v>25</v>
      </c>
      <c r="C75" t="s">
        <v>66</v>
      </c>
      <c r="D75" t="s">
        <v>67</v>
      </c>
      <c r="E75" t="s">
        <v>136</v>
      </c>
      <c r="F75" t="s">
        <v>29</v>
      </c>
      <c r="G75" t="s">
        <v>30</v>
      </c>
      <c r="H75">
        <v>123456</v>
      </c>
      <c r="I75" s="4">
        <v>46254</v>
      </c>
      <c r="J75" t="s">
        <v>44</v>
      </c>
      <c r="M75" s="4">
        <v>46254</v>
      </c>
      <c r="N75" s="4">
        <v>46254</v>
      </c>
      <c r="O75">
        <v>1</v>
      </c>
      <c r="Q75" t="s">
        <v>32</v>
      </c>
      <c r="T75" s="5">
        <v>4465.62</v>
      </c>
      <c r="U75" s="5">
        <v>0</v>
      </c>
      <c r="V75" s="5">
        <f t="shared" si="2"/>
        <v>4465.62</v>
      </c>
    </row>
    <row r="76" spans="1:22" x14ac:dyDescent="0.3">
      <c r="A76" t="s">
        <v>24</v>
      </c>
      <c r="B76" t="s">
        <v>25</v>
      </c>
      <c r="C76" t="s">
        <v>88</v>
      </c>
      <c r="D76" t="s">
        <v>89</v>
      </c>
      <c r="E76" t="s">
        <v>137</v>
      </c>
      <c r="F76" t="s">
        <v>29</v>
      </c>
      <c r="G76" t="s">
        <v>30</v>
      </c>
      <c r="H76">
        <v>123456</v>
      </c>
      <c r="I76" s="4">
        <v>46254</v>
      </c>
      <c r="J76" t="s">
        <v>31</v>
      </c>
      <c r="M76" s="4">
        <v>46254</v>
      </c>
      <c r="N76" s="4">
        <v>46254</v>
      </c>
      <c r="O76">
        <v>1</v>
      </c>
      <c r="Q76" t="s">
        <v>32</v>
      </c>
      <c r="T76" s="5">
        <v>9933.3700000000008</v>
      </c>
      <c r="U76" s="5">
        <v>0</v>
      </c>
      <c r="V76" s="5">
        <f t="shared" si="2"/>
        <v>9933.3700000000008</v>
      </c>
    </row>
    <row r="77" spans="1:22" x14ac:dyDescent="0.3">
      <c r="A77" t="s">
        <v>24</v>
      </c>
      <c r="B77" t="s">
        <v>25</v>
      </c>
      <c r="C77" t="s">
        <v>50</v>
      </c>
      <c r="D77" t="s">
        <v>51</v>
      </c>
      <c r="E77" t="s">
        <v>138</v>
      </c>
      <c r="F77" t="s">
        <v>29</v>
      </c>
      <c r="G77" t="s">
        <v>30</v>
      </c>
      <c r="H77">
        <v>123456</v>
      </c>
      <c r="I77" s="4">
        <v>46254</v>
      </c>
      <c r="J77" t="s">
        <v>62</v>
      </c>
      <c r="M77" s="4">
        <v>46254</v>
      </c>
      <c r="N77" s="4">
        <v>46254</v>
      </c>
      <c r="O77">
        <v>1</v>
      </c>
      <c r="Q77" t="s">
        <v>32</v>
      </c>
      <c r="T77" s="5">
        <v>2139</v>
      </c>
      <c r="U77" s="5">
        <v>0</v>
      </c>
      <c r="V77" s="5">
        <f t="shared" si="2"/>
        <v>2139</v>
      </c>
    </row>
    <row r="78" spans="1:22" x14ac:dyDescent="0.3">
      <c r="A78" t="s">
        <v>24</v>
      </c>
      <c r="B78" t="s">
        <v>25</v>
      </c>
      <c r="C78" t="s">
        <v>76</v>
      </c>
      <c r="D78" t="s">
        <v>77</v>
      </c>
      <c r="E78" t="s">
        <v>139</v>
      </c>
      <c r="F78" t="s">
        <v>29</v>
      </c>
      <c r="G78" t="s">
        <v>30</v>
      </c>
      <c r="H78">
        <v>123456</v>
      </c>
      <c r="I78" s="4">
        <v>46254</v>
      </c>
      <c r="J78" t="s">
        <v>31</v>
      </c>
      <c r="M78" s="4">
        <v>46254</v>
      </c>
      <c r="N78" s="4">
        <v>46254</v>
      </c>
      <c r="O78">
        <v>1</v>
      </c>
      <c r="Q78" t="s">
        <v>32</v>
      </c>
      <c r="T78" s="5">
        <v>8373.32</v>
      </c>
      <c r="U78" s="5">
        <v>0</v>
      </c>
      <c r="V78" s="5">
        <f t="shared" si="2"/>
        <v>8373.32</v>
      </c>
    </row>
    <row r="79" spans="1:22" x14ac:dyDescent="0.3">
      <c r="A79" t="s">
        <v>24</v>
      </c>
      <c r="B79" t="s">
        <v>25</v>
      </c>
      <c r="C79" t="s">
        <v>33</v>
      </c>
      <c r="D79" t="s">
        <v>34</v>
      </c>
      <c r="E79" t="s">
        <v>140</v>
      </c>
      <c r="F79" t="s">
        <v>29</v>
      </c>
      <c r="G79" t="s">
        <v>30</v>
      </c>
      <c r="H79">
        <v>123456</v>
      </c>
      <c r="I79" s="4">
        <v>46254</v>
      </c>
      <c r="J79" t="s">
        <v>84</v>
      </c>
      <c r="M79" s="4">
        <v>46254</v>
      </c>
      <c r="N79" s="4">
        <v>46254</v>
      </c>
      <c r="O79">
        <v>1</v>
      </c>
      <c r="Q79" t="s">
        <v>32</v>
      </c>
      <c r="T79" s="5">
        <v>4519.55</v>
      </c>
      <c r="U79" s="5">
        <v>0</v>
      </c>
      <c r="V79" s="5">
        <f t="shared" si="2"/>
        <v>4519.55</v>
      </c>
    </row>
    <row r="80" spans="1:22" x14ac:dyDescent="0.3">
      <c r="A80" t="s">
        <v>24</v>
      </c>
      <c r="B80" t="s">
        <v>25</v>
      </c>
      <c r="C80" t="s">
        <v>76</v>
      </c>
      <c r="D80" t="s">
        <v>77</v>
      </c>
      <c r="E80" t="s">
        <v>141</v>
      </c>
      <c r="F80" t="s">
        <v>29</v>
      </c>
      <c r="G80" t="s">
        <v>30</v>
      </c>
      <c r="H80">
        <v>123456</v>
      </c>
      <c r="I80" s="4">
        <v>46254</v>
      </c>
      <c r="J80" t="s">
        <v>36</v>
      </c>
      <c r="M80" s="4">
        <v>46254</v>
      </c>
      <c r="N80" s="4">
        <v>46254</v>
      </c>
      <c r="O80">
        <v>1</v>
      </c>
      <c r="Q80" t="s">
        <v>32</v>
      </c>
      <c r="T80" s="5">
        <v>12987.6</v>
      </c>
      <c r="U80" s="5">
        <v>0</v>
      </c>
      <c r="V80" s="5">
        <f t="shared" si="2"/>
        <v>12987.6</v>
      </c>
    </row>
    <row r="81" spans="1:22" x14ac:dyDescent="0.3">
      <c r="A81" t="s">
        <v>24</v>
      </c>
      <c r="B81" t="s">
        <v>25</v>
      </c>
      <c r="C81" t="s">
        <v>76</v>
      </c>
      <c r="D81" t="s">
        <v>77</v>
      </c>
      <c r="E81" t="s">
        <v>142</v>
      </c>
      <c r="F81" t="s">
        <v>29</v>
      </c>
      <c r="G81" t="s">
        <v>30</v>
      </c>
      <c r="H81">
        <v>123456</v>
      </c>
      <c r="I81" s="4">
        <v>46254</v>
      </c>
      <c r="J81" t="s">
        <v>84</v>
      </c>
      <c r="M81" s="4">
        <v>46254</v>
      </c>
      <c r="N81" s="4">
        <v>46254</v>
      </c>
      <c r="O81">
        <v>1</v>
      </c>
      <c r="Q81" t="s">
        <v>32</v>
      </c>
      <c r="T81" s="5">
        <v>7446.68</v>
      </c>
      <c r="U81" s="5">
        <v>0</v>
      </c>
      <c r="V81" s="5">
        <f t="shared" si="2"/>
        <v>7446.68</v>
      </c>
    </row>
    <row r="82" spans="1:22" x14ac:dyDescent="0.3">
      <c r="A82" t="s">
        <v>45</v>
      </c>
      <c r="B82" t="s">
        <v>46</v>
      </c>
      <c r="C82" t="s">
        <v>72</v>
      </c>
      <c r="D82" t="s">
        <v>73</v>
      </c>
      <c r="E82" t="s">
        <v>143</v>
      </c>
      <c r="F82" t="s">
        <v>29</v>
      </c>
      <c r="G82" t="s">
        <v>30</v>
      </c>
      <c r="H82">
        <v>123456</v>
      </c>
      <c r="I82" s="4">
        <v>46254</v>
      </c>
      <c r="J82" t="s">
        <v>84</v>
      </c>
      <c r="M82" s="4">
        <v>46254</v>
      </c>
      <c r="N82" s="4">
        <v>46254</v>
      </c>
      <c r="O82">
        <v>1</v>
      </c>
      <c r="Q82" t="s">
        <v>32</v>
      </c>
      <c r="T82" s="5">
        <v>3734.32</v>
      </c>
      <c r="U82" s="5">
        <v>0</v>
      </c>
      <c r="V82" s="5">
        <f t="shared" si="2"/>
        <v>3734.32</v>
      </c>
    </row>
    <row r="83" spans="1:22" x14ac:dyDescent="0.3">
      <c r="A83" t="s">
        <v>24</v>
      </c>
      <c r="B83" t="s">
        <v>25</v>
      </c>
      <c r="C83" t="s">
        <v>88</v>
      </c>
      <c r="D83" t="s">
        <v>89</v>
      </c>
      <c r="E83" t="s">
        <v>144</v>
      </c>
      <c r="F83" t="s">
        <v>29</v>
      </c>
      <c r="G83" t="s">
        <v>30</v>
      </c>
      <c r="H83">
        <v>123456</v>
      </c>
      <c r="I83" s="4">
        <v>46254</v>
      </c>
      <c r="J83" t="s">
        <v>84</v>
      </c>
      <c r="M83" s="4">
        <v>46254</v>
      </c>
      <c r="N83" s="4">
        <v>46254</v>
      </c>
      <c r="O83">
        <v>1</v>
      </c>
      <c r="Q83" t="s">
        <v>32</v>
      </c>
      <c r="T83" s="5">
        <v>11927.43</v>
      </c>
      <c r="U83" s="5">
        <v>0</v>
      </c>
      <c r="V83" s="5">
        <f t="shared" si="2"/>
        <v>11927.43</v>
      </c>
    </row>
    <row r="84" spans="1:22" x14ac:dyDescent="0.3">
      <c r="A84" t="s">
        <v>45</v>
      </c>
      <c r="B84" t="s">
        <v>46</v>
      </c>
      <c r="C84" t="s">
        <v>58</v>
      </c>
      <c r="D84" t="s">
        <v>59</v>
      </c>
      <c r="E84" t="s">
        <v>145</v>
      </c>
      <c r="F84" t="s">
        <v>29</v>
      </c>
      <c r="G84" t="s">
        <v>30</v>
      </c>
      <c r="H84">
        <v>123456</v>
      </c>
      <c r="I84" s="4">
        <v>46254</v>
      </c>
      <c r="J84" t="s">
        <v>44</v>
      </c>
      <c r="M84" s="4">
        <v>46254</v>
      </c>
      <c r="N84" s="4">
        <v>46254</v>
      </c>
      <c r="O84">
        <v>1</v>
      </c>
      <c r="Q84" t="s">
        <v>32</v>
      </c>
      <c r="T84" s="5">
        <v>1675.73</v>
      </c>
      <c r="U84" s="5">
        <v>0</v>
      </c>
      <c r="V84" s="5">
        <f t="shared" si="2"/>
        <v>1675.73</v>
      </c>
    </row>
    <row r="85" spans="1:22" x14ac:dyDescent="0.3">
      <c r="A85" t="s">
        <v>24</v>
      </c>
      <c r="B85" t="s">
        <v>25</v>
      </c>
      <c r="C85" t="s">
        <v>66</v>
      </c>
      <c r="D85" t="s">
        <v>67</v>
      </c>
      <c r="E85" t="s">
        <v>146</v>
      </c>
      <c r="F85" t="s">
        <v>29</v>
      </c>
      <c r="G85" t="s">
        <v>30</v>
      </c>
      <c r="H85">
        <v>123456</v>
      </c>
      <c r="I85" s="4">
        <v>46254</v>
      </c>
      <c r="J85" t="s">
        <v>40</v>
      </c>
      <c r="M85" s="4">
        <v>46254</v>
      </c>
      <c r="N85" s="4">
        <v>46254</v>
      </c>
      <c r="O85">
        <v>1</v>
      </c>
      <c r="Q85" t="s">
        <v>32</v>
      </c>
      <c r="T85" s="5">
        <v>9424.24</v>
      </c>
      <c r="U85" s="5">
        <v>0</v>
      </c>
      <c r="V85" s="5">
        <f t="shared" si="2"/>
        <v>9424.24</v>
      </c>
    </row>
    <row r="86" spans="1:22" x14ac:dyDescent="0.3">
      <c r="A86" t="s">
        <v>24</v>
      </c>
      <c r="B86" t="s">
        <v>25</v>
      </c>
      <c r="C86" t="s">
        <v>88</v>
      </c>
      <c r="D86" t="s">
        <v>89</v>
      </c>
      <c r="E86" t="s">
        <v>147</v>
      </c>
      <c r="F86" t="s">
        <v>29</v>
      </c>
      <c r="G86" t="s">
        <v>30</v>
      </c>
      <c r="H86">
        <v>123456</v>
      </c>
      <c r="I86" s="4">
        <v>46254</v>
      </c>
      <c r="J86" t="s">
        <v>64</v>
      </c>
      <c r="M86" s="4">
        <v>46254</v>
      </c>
      <c r="N86" s="4">
        <v>46254</v>
      </c>
      <c r="O86">
        <v>1</v>
      </c>
      <c r="Q86" t="s">
        <v>32</v>
      </c>
      <c r="T86" s="5">
        <v>7421.62</v>
      </c>
      <c r="U86" s="5">
        <v>0</v>
      </c>
      <c r="V86" s="5">
        <f t="shared" si="2"/>
        <v>7421.62</v>
      </c>
    </row>
    <row r="87" spans="1:22" x14ac:dyDescent="0.3">
      <c r="A87" t="s">
        <v>24</v>
      </c>
      <c r="B87" t="s">
        <v>25</v>
      </c>
      <c r="C87" t="s">
        <v>50</v>
      </c>
      <c r="D87" t="s">
        <v>51</v>
      </c>
      <c r="E87" t="s">
        <v>148</v>
      </c>
      <c r="F87" t="s">
        <v>29</v>
      </c>
      <c r="G87" t="s">
        <v>30</v>
      </c>
      <c r="H87">
        <v>123456</v>
      </c>
      <c r="I87" s="4">
        <v>46254</v>
      </c>
      <c r="J87" t="s">
        <v>31</v>
      </c>
      <c r="M87" s="4">
        <v>46254</v>
      </c>
      <c r="N87" s="4">
        <v>46254</v>
      </c>
      <c r="O87">
        <v>1</v>
      </c>
      <c r="Q87" t="s">
        <v>32</v>
      </c>
      <c r="T87" s="5">
        <v>11453.47</v>
      </c>
      <c r="U87" s="5">
        <v>0</v>
      </c>
      <c r="V87" s="5">
        <f t="shared" si="2"/>
        <v>11453.47</v>
      </c>
    </row>
    <row r="88" spans="1:22" x14ac:dyDescent="0.3">
      <c r="A88" t="s">
        <v>45</v>
      </c>
      <c r="B88" t="s">
        <v>46</v>
      </c>
      <c r="C88" t="s">
        <v>58</v>
      </c>
      <c r="D88" t="s">
        <v>59</v>
      </c>
      <c r="E88" t="s">
        <v>149</v>
      </c>
      <c r="F88" t="s">
        <v>29</v>
      </c>
      <c r="G88" t="s">
        <v>30</v>
      </c>
      <c r="H88">
        <v>123456</v>
      </c>
      <c r="I88" s="4">
        <v>46254</v>
      </c>
      <c r="J88" t="s">
        <v>40</v>
      </c>
      <c r="M88" s="4">
        <v>46254</v>
      </c>
      <c r="N88" s="4">
        <v>46254</v>
      </c>
      <c r="O88">
        <v>1</v>
      </c>
      <c r="Q88" t="s">
        <v>32</v>
      </c>
      <c r="T88" s="5">
        <v>6574.16</v>
      </c>
      <c r="U88" s="5">
        <v>0</v>
      </c>
      <c r="V88" s="5">
        <f t="shared" si="2"/>
        <v>6574.16</v>
      </c>
    </row>
    <row r="89" spans="1:22" x14ac:dyDescent="0.3">
      <c r="A89" t="s">
        <v>24</v>
      </c>
      <c r="B89" t="s">
        <v>25</v>
      </c>
      <c r="C89" t="s">
        <v>41</v>
      </c>
      <c r="D89" t="s">
        <v>42</v>
      </c>
      <c r="E89" t="s">
        <v>150</v>
      </c>
      <c r="F89" t="s">
        <v>29</v>
      </c>
      <c r="G89" t="s">
        <v>30</v>
      </c>
      <c r="H89">
        <v>123456</v>
      </c>
      <c r="I89" s="4">
        <v>46254</v>
      </c>
      <c r="J89" t="s">
        <v>62</v>
      </c>
      <c r="M89" s="4">
        <v>46254</v>
      </c>
      <c r="N89" s="4">
        <v>46254</v>
      </c>
      <c r="O89">
        <v>1</v>
      </c>
      <c r="Q89" t="s">
        <v>32</v>
      </c>
      <c r="T89" s="5">
        <v>2318.14</v>
      </c>
      <c r="U89" s="5">
        <v>0</v>
      </c>
      <c r="V89" s="5">
        <f t="shared" si="2"/>
        <v>2318.14</v>
      </c>
    </row>
    <row r="90" spans="1:22" x14ac:dyDescent="0.3">
      <c r="A90" t="s">
        <v>24</v>
      </c>
      <c r="B90" t="s">
        <v>25</v>
      </c>
      <c r="C90" t="s">
        <v>66</v>
      </c>
      <c r="D90" t="s">
        <v>67</v>
      </c>
      <c r="E90" t="s">
        <v>151</v>
      </c>
      <c r="F90" t="s">
        <v>29</v>
      </c>
      <c r="G90" t="s">
        <v>30</v>
      </c>
      <c r="H90">
        <v>123456</v>
      </c>
      <c r="I90" s="4">
        <v>46254</v>
      </c>
      <c r="J90" t="s">
        <v>40</v>
      </c>
      <c r="M90" s="4">
        <v>46254</v>
      </c>
      <c r="N90" s="4">
        <v>46254</v>
      </c>
      <c r="O90">
        <v>1</v>
      </c>
      <c r="Q90" t="s">
        <v>32</v>
      </c>
      <c r="T90" s="5">
        <v>14817.25</v>
      </c>
      <c r="U90" s="5">
        <v>0</v>
      </c>
      <c r="V90" s="5">
        <f t="shared" si="2"/>
        <v>14817.25</v>
      </c>
    </row>
    <row r="91" spans="1:22" x14ac:dyDescent="0.3">
      <c r="A91" t="s">
        <v>24</v>
      </c>
      <c r="B91" t="s">
        <v>25</v>
      </c>
      <c r="C91" t="s">
        <v>76</v>
      </c>
      <c r="D91" t="s">
        <v>77</v>
      </c>
      <c r="E91" t="s">
        <v>152</v>
      </c>
      <c r="F91" t="s">
        <v>29</v>
      </c>
      <c r="G91" t="s">
        <v>30</v>
      </c>
      <c r="H91">
        <v>123456</v>
      </c>
      <c r="I91" s="4">
        <v>46254</v>
      </c>
      <c r="J91" t="s">
        <v>40</v>
      </c>
      <c r="M91" s="4">
        <v>46254</v>
      </c>
      <c r="N91" s="4">
        <v>46254</v>
      </c>
      <c r="O91">
        <v>1</v>
      </c>
      <c r="Q91" t="s">
        <v>32</v>
      </c>
      <c r="T91" s="5">
        <v>8707.2199999999993</v>
      </c>
      <c r="U91" s="5">
        <v>0</v>
      </c>
      <c r="V91" s="5">
        <f t="shared" si="2"/>
        <v>8707.2199999999993</v>
      </c>
    </row>
    <row r="92" spans="1:22" x14ac:dyDescent="0.3">
      <c r="A92" t="s">
        <v>24</v>
      </c>
      <c r="B92" t="s">
        <v>25</v>
      </c>
      <c r="C92" t="s">
        <v>76</v>
      </c>
      <c r="D92" t="s">
        <v>77</v>
      </c>
      <c r="E92" t="s">
        <v>153</v>
      </c>
      <c r="F92" t="s">
        <v>29</v>
      </c>
      <c r="G92" t="s">
        <v>30</v>
      </c>
      <c r="H92">
        <v>123456</v>
      </c>
      <c r="I92" s="4">
        <v>46254</v>
      </c>
      <c r="J92" t="s">
        <v>31</v>
      </c>
      <c r="M92" s="4">
        <v>46254</v>
      </c>
      <c r="N92" s="4">
        <v>46254</v>
      </c>
      <c r="O92">
        <v>1</v>
      </c>
      <c r="Q92" t="s">
        <v>32</v>
      </c>
      <c r="T92" s="5">
        <v>13677.13</v>
      </c>
      <c r="U92" s="5">
        <v>0</v>
      </c>
      <c r="V92" s="5">
        <f t="shared" si="2"/>
        <v>13677.13</v>
      </c>
    </row>
    <row r="93" spans="1:22" x14ac:dyDescent="0.3">
      <c r="A93" t="s">
        <v>24</v>
      </c>
      <c r="B93" t="s">
        <v>25</v>
      </c>
      <c r="C93" t="s">
        <v>66</v>
      </c>
      <c r="D93" t="s">
        <v>67</v>
      </c>
      <c r="E93" t="s">
        <v>154</v>
      </c>
      <c r="F93" t="s">
        <v>29</v>
      </c>
      <c r="G93" t="s">
        <v>30</v>
      </c>
      <c r="H93">
        <v>123456</v>
      </c>
      <c r="I93" s="4">
        <v>46254</v>
      </c>
      <c r="J93" t="s">
        <v>64</v>
      </c>
      <c r="M93" s="4">
        <v>46254</v>
      </c>
      <c r="N93" s="4">
        <v>46254</v>
      </c>
      <c r="O93">
        <v>1</v>
      </c>
      <c r="Q93" t="s">
        <v>32</v>
      </c>
      <c r="T93" s="5">
        <v>9955.89</v>
      </c>
      <c r="U93" s="5">
        <v>0</v>
      </c>
      <c r="V93" s="5">
        <f t="shared" si="2"/>
        <v>9955.89</v>
      </c>
    </row>
    <row r="94" spans="1:22" x14ac:dyDescent="0.3">
      <c r="A94" t="s">
        <v>24</v>
      </c>
      <c r="B94" t="s">
        <v>25</v>
      </c>
      <c r="C94" t="s">
        <v>37</v>
      </c>
      <c r="D94" t="s">
        <v>38</v>
      </c>
      <c r="E94" t="s">
        <v>155</v>
      </c>
      <c r="F94" t="s">
        <v>29</v>
      </c>
      <c r="G94" t="s">
        <v>30</v>
      </c>
      <c r="H94">
        <v>123456</v>
      </c>
      <c r="I94" s="4">
        <v>46254</v>
      </c>
      <c r="J94" t="s">
        <v>31</v>
      </c>
      <c r="M94" s="4">
        <v>46254</v>
      </c>
      <c r="N94" s="4">
        <v>46254</v>
      </c>
      <c r="O94">
        <v>1</v>
      </c>
      <c r="Q94" t="s">
        <v>32</v>
      </c>
      <c r="T94" s="5">
        <v>13662.49</v>
      </c>
      <c r="U94" s="5">
        <v>0</v>
      </c>
      <c r="V94" s="5">
        <f t="shared" si="2"/>
        <v>13662.49</v>
      </c>
    </row>
    <row r="95" spans="1:22" x14ac:dyDescent="0.3">
      <c r="A95" t="s">
        <v>24</v>
      </c>
      <c r="B95" t="s">
        <v>25</v>
      </c>
      <c r="C95" t="s">
        <v>81</v>
      </c>
      <c r="D95" t="s">
        <v>82</v>
      </c>
      <c r="E95" t="s">
        <v>156</v>
      </c>
      <c r="F95" t="s">
        <v>29</v>
      </c>
      <c r="G95" t="s">
        <v>30</v>
      </c>
      <c r="H95">
        <v>123456</v>
      </c>
      <c r="I95" s="4">
        <v>46254</v>
      </c>
      <c r="J95" t="s">
        <v>40</v>
      </c>
      <c r="M95" s="4">
        <v>46254</v>
      </c>
      <c r="N95" s="4">
        <v>46254</v>
      </c>
      <c r="O95">
        <v>1</v>
      </c>
      <c r="Q95" t="s">
        <v>32</v>
      </c>
      <c r="T95" s="5">
        <v>13727.92</v>
      </c>
      <c r="U95" s="5">
        <v>0</v>
      </c>
      <c r="V95" s="5">
        <f t="shared" si="2"/>
        <v>13727.92</v>
      </c>
    </row>
    <row r="96" spans="1:22" x14ac:dyDescent="0.3">
      <c r="A96" t="s">
        <v>24</v>
      </c>
      <c r="B96" t="s">
        <v>25</v>
      </c>
      <c r="C96" t="s">
        <v>66</v>
      </c>
      <c r="D96" t="s">
        <v>67</v>
      </c>
      <c r="E96" t="s">
        <v>157</v>
      </c>
      <c r="F96" t="s">
        <v>29</v>
      </c>
      <c r="G96" t="s">
        <v>30</v>
      </c>
      <c r="H96">
        <v>123456</v>
      </c>
      <c r="I96" s="4">
        <v>46254</v>
      </c>
      <c r="J96" t="s">
        <v>84</v>
      </c>
      <c r="M96" s="4">
        <v>46254</v>
      </c>
      <c r="N96" s="4">
        <v>46254</v>
      </c>
      <c r="O96">
        <v>1</v>
      </c>
      <c r="Q96" t="s">
        <v>32</v>
      </c>
      <c r="T96" s="5">
        <v>10181.209999999999</v>
      </c>
      <c r="U96" s="5">
        <v>0</v>
      </c>
      <c r="V96" s="5">
        <f t="shared" si="2"/>
        <v>10181.209999999999</v>
      </c>
    </row>
    <row r="97" spans="1:22" x14ac:dyDescent="0.3">
      <c r="A97" t="s">
        <v>24</v>
      </c>
      <c r="B97" t="s">
        <v>25</v>
      </c>
      <c r="C97" t="s">
        <v>88</v>
      </c>
      <c r="D97" t="s">
        <v>89</v>
      </c>
      <c r="E97" t="s">
        <v>158</v>
      </c>
      <c r="F97" t="s">
        <v>29</v>
      </c>
      <c r="G97" t="s">
        <v>30</v>
      </c>
      <c r="H97">
        <v>123456</v>
      </c>
      <c r="I97" s="4">
        <v>46254</v>
      </c>
      <c r="J97" t="s">
        <v>44</v>
      </c>
      <c r="M97" s="4">
        <v>46254</v>
      </c>
      <c r="N97" s="4">
        <v>46254</v>
      </c>
      <c r="O97">
        <v>1</v>
      </c>
      <c r="Q97" t="s">
        <v>32</v>
      </c>
      <c r="T97" s="5">
        <v>12371.78</v>
      </c>
      <c r="U97" s="5">
        <v>0</v>
      </c>
      <c r="V97" s="5">
        <f t="shared" si="2"/>
        <v>12371.78</v>
      </c>
    </row>
    <row r="98" spans="1:22" x14ac:dyDescent="0.3">
      <c r="A98" t="s">
        <v>24</v>
      </c>
      <c r="B98" t="s">
        <v>25</v>
      </c>
      <c r="C98" t="s">
        <v>81</v>
      </c>
      <c r="D98" t="s">
        <v>82</v>
      </c>
      <c r="E98" t="s">
        <v>159</v>
      </c>
      <c r="F98" t="s">
        <v>29</v>
      </c>
      <c r="G98" t="s">
        <v>30</v>
      </c>
      <c r="H98">
        <v>123456</v>
      </c>
      <c r="I98" s="4">
        <v>46254</v>
      </c>
      <c r="J98" t="s">
        <v>84</v>
      </c>
      <c r="M98" s="4">
        <v>46254</v>
      </c>
      <c r="N98" s="4">
        <v>46254</v>
      </c>
      <c r="O98">
        <v>1</v>
      </c>
      <c r="Q98" t="s">
        <v>32</v>
      </c>
      <c r="T98" s="5">
        <v>1135.6099999999999</v>
      </c>
      <c r="U98" s="5">
        <v>0</v>
      </c>
      <c r="V98" s="5">
        <f t="shared" si="2"/>
        <v>1135.6099999999999</v>
      </c>
    </row>
    <row r="99" spans="1:22" x14ac:dyDescent="0.3">
      <c r="A99" t="s">
        <v>24</v>
      </c>
      <c r="B99" t="s">
        <v>25</v>
      </c>
      <c r="C99" t="s">
        <v>66</v>
      </c>
      <c r="D99" t="s">
        <v>67</v>
      </c>
      <c r="E99" t="s">
        <v>160</v>
      </c>
      <c r="F99" t="s">
        <v>29</v>
      </c>
      <c r="G99" t="s">
        <v>30</v>
      </c>
      <c r="H99">
        <v>123456</v>
      </c>
      <c r="I99" s="4">
        <v>46254</v>
      </c>
      <c r="J99" t="s">
        <v>62</v>
      </c>
      <c r="M99" s="4">
        <v>46254</v>
      </c>
      <c r="N99" s="4">
        <v>46254</v>
      </c>
      <c r="O99">
        <v>1</v>
      </c>
      <c r="Q99" t="s">
        <v>32</v>
      </c>
      <c r="T99" s="5">
        <v>2207.83</v>
      </c>
      <c r="U99" s="5">
        <v>0</v>
      </c>
      <c r="V99" s="5">
        <f t="shared" si="2"/>
        <v>2207.83</v>
      </c>
    </row>
    <row r="100" spans="1:22" x14ac:dyDescent="0.3">
      <c r="A100" t="s">
        <v>24</v>
      </c>
      <c r="B100" t="s">
        <v>25</v>
      </c>
      <c r="C100" t="s">
        <v>66</v>
      </c>
      <c r="D100" t="s">
        <v>67</v>
      </c>
      <c r="E100" t="s">
        <v>161</v>
      </c>
      <c r="F100" t="s">
        <v>29</v>
      </c>
      <c r="G100" t="s">
        <v>30</v>
      </c>
      <c r="H100">
        <v>123456</v>
      </c>
      <c r="I100" s="4">
        <v>46254</v>
      </c>
      <c r="J100" t="s">
        <v>31</v>
      </c>
      <c r="M100" s="4">
        <v>46254</v>
      </c>
      <c r="N100" s="4">
        <v>46254</v>
      </c>
      <c r="O100">
        <v>1</v>
      </c>
      <c r="Q100" t="s">
        <v>32</v>
      </c>
      <c r="T100" s="5">
        <v>12538.66</v>
      </c>
      <c r="U100" s="5">
        <v>0</v>
      </c>
      <c r="V100" s="5">
        <f t="shared" si="2"/>
        <v>12538.66</v>
      </c>
    </row>
    <row r="101" spans="1:22" x14ac:dyDescent="0.3">
      <c r="A101" t="s">
        <v>24</v>
      </c>
      <c r="B101" t="s">
        <v>25</v>
      </c>
      <c r="C101" t="s">
        <v>54</v>
      </c>
      <c r="D101" t="s">
        <v>55</v>
      </c>
      <c r="E101" t="s">
        <v>162</v>
      </c>
      <c r="F101" t="s">
        <v>29</v>
      </c>
      <c r="G101" t="s">
        <v>30</v>
      </c>
      <c r="H101">
        <v>123456</v>
      </c>
      <c r="I101" s="4">
        <v>46254</v>
      </c>
      <c r="J101" t="s">
        <v>84</v>
      </c>
      <c r="M101" s="4">
        <v>46254</v>
      </c>
      <c r="N101" s="4">
        <v>46254</v>
      </c>
      <c r="O101">
        <v>1</v>
      </c>
      <c r="Q101" t="s">
        <v>32</v>
      </c>
      <c r="T101" s="5">
        <v>5636.56</v>
      </c>
      <c r="U101" s="5">
        <v>0</v>
      </c>
      <c r="V101" s="5">
        <f t="shared" si="2"/>
        <v>5636.56</v>
      </c>
    </row>
    <row r="102" spans="1:22" x14ac:dyDescent="0.3">
      <c r="A102" t="s">
        <v>24</v>
      </c>
      <c r="B102" t="s">
        <v>25</v>
      </c>
      <c r="C102" t="s">
        <v>81</v>
      </c>
      <c r="D102" t="s">
        <v>82</v>
      </c>
      <c r="E102" t="s">
        <v>163</v>
      </c>
      <c r="F102" t="s">
        <v>29</v>
      </c>
      <c r="G102" t="s">
        <v>30</v>
      </c>
      <c r="H102">
        <v>123456</v>
      </c>
      <c r="I102" s="4">
        <v>46254</v>
      </c>
      <c r="J102" t="s">
        <v>84</v>
      </c>
      <c r="M102" s="4">
        <v>46254</v>
      </c>
      <c r="N102" s="4">
        <v>46254</v>
      </c>
      <c r="O102">
        <v>1</v>
      </c>
      <c r="Q102" t="s">
        <v>32</v>
      </c>
      <c r="T102" s="5">
        <v>9664.5</v>
      </c>
      <c r="U102" s="5">
        <v>0</v>
      </c>
      <c r="V102" s="5">
        <f t="shared" si="2"/>
        <v>9664.5</v>
      </c>
    </row>
    <row r="103" spans="1:22" x14ac:dyDescent="0.3">
      <c r="A103" t="s">
        <v>24</v>
      </c>
      <c r="B103" t="s">
        <v>25</v>
      </c>
      <c r="C103" t="s">
        <v>26</v>
      </c>
      <c r="D103" t="s">
        <v>27</v>
      </c>
      <c r="E103" t="s">
        <v>164</v>
      </c>
      <c r="F103" t="s">
        <v>29</v>
      </c>
      <c r="G103" t="s">
        <v>30</v>
      </c>
      <c r="H103">
        <v>123456</v>
      </c>
      <c r="I103" s="4">
        <v>46254</v>
      </c>
      <c r="J103" t="s">
        <v>36</v>
      </c>
      <c r="M103" s="4">
        <v>46254</v>
      </c>
      <c r="N103" s="4">
        <v>46254</v>
      </c>
      <c r="O103">
        <v>1</v>
      </c>
      <c r="Q103" t="s">
        <v>32</v>
      </c>
      <c r="T103" s="5">
        <v>8878.4699999999993</v>
      </c>
      <c r="U103" s="5">
        <v>0</v>
      </c>
      <c r="V103" s="5">
        <f t="shared" ref="V103:V134" si="3">T103+U103</f>
        <v>8878.4699999999993</v>
      </c>
    </row>
    <row r="104" spans="1:22" x14ac:dyDescent="0.3">
      <c r="A104" t="s">
        <v>45</v>
      </c>
      <c r="B104" t="s">
        <v>46</v>
      </c>
      <c r="C104" t="s">
        <v>72</v>
      </c>
      <c r="D104" t="s">
        <v>73</v>
      </c>
      <c r="E104" t="s">
        <v>165</v>
      </c>
      <c r="F104" t="s">
        <v>29</v>
      </c>
      <c r="G104" t="s">
        <v>30</v>
      </c>
      <c r="H104">
        <v>123456</v>
      </c>
      <c r="I104" s="4">
        <v>46254</v>
      </c>
      <c r="J104" t="s">
        <v>64</v>
      </c>
      <c r="M104" s="4">
        <v>46254</v>
      </c>
      <c r="N104" s="4">
        <v>46254</v>
      </c>
      <c r="O104">
        <v>1</v>
      </c>
      <c r="Q104" t="s">
        <v>32</v>
      </c>
      <c r="T104" s="5">
        <v>2782.56</v>
      </c>
      <c r="U104" s="5">
        <v>0</v>
      </c>
      <c r="V104" s="5">
        <f t="shared" si="3"/>
        <v>2782.56</v>
      </c>
    </row>
    <row r="105" spans="1:22" x14ac:dyDescent="0.3">
      <c r="A105" t="s">
        <v>24</v>
      </c>
      <c r="B105" t="s">
        <v>25</v>
      </c>
      <c r="C105" t="s">
        <v>26</v>
      </c>
      <c r="D105" t="s">
        <v>27</v>
      </c>
      <c r="E105" t="s">
        <v>166</v>
      </c>
      <c r="F105" t="s">
        <v>29</v>
      </c>
      <c r="G105" t="s">
        <v>30</v>
      </c>
      <c r="H105">
        <v>123456</v>
      </c>
      <c r="I105" s="4">
        <v>46254</v>
      </c>
      <c r="J105" t="s">
        <v>84</v>
      </c>
      <c r="M105" s="4">
        <v>46254</v>
      </c>
      <c r="N105" s="4">
        <v>46254</v>
      </c>
      <c r="O105">
        <v>1</v>
      </c>
      <c r="Q105" t="s">
        <v>32</v>
      </c>
      <c r="T105" s="5">
        <v>6430.22</v>
      </c>
      <c r="U105" s="5">
        <v>0</v>
      </c>
      <c r="V105" s="5">
        <f t="shared" si="3"/>
        <v>6430.22</v>
      </c>
    </row>
    <row r="106" spans="1:22" x14ac:dyDescent="0.3">
      <c r="A106" t="s">
        <v>24</v>
      </c>
      <c r="B106" t="s">
        <v>25</v>
      </c>
      <c r="C106" t="s">
        <v>33</v>
      </c>
      <c r="D106" t="s">
        <v>34</v>
      </c>
      <c r="E106" t="s">
        <v>167</v>
      </c>
      <c r="F106" t="s">
        <v>29</v>
      </c>
      <c r="G106" t="s">
        <v>30</v>
      </c>
      <c r="H106">
        <v>123456</v>
      </c>
      <c r="I106" s="4">
        <v>46254</v>
      </c>
      <c r="J106" t="s">
        <v>31</v>
      </c>
      <c r="M106" s="4">
        <v>46254</v>
      </c>
      <c r="N106" s="4">
        <v>46254</v>
      </c>
      <c r="O106">
        <v>1</v>
      </c>
      <c r="Q106" t="s">
        <v>32</v>
      </c>
      <c r="T106" s="5">
        <v>10963.2</v>
      </c>
      <c r="U106" s="5">
        <v>0</v>
      </c>
      <c r="V106" s="5">
        <f t="shared" si="3"/>
        <v>10963.2</v>
      </c>
    </row>
    <row r="107" spans="1:22" x14ac:dyDescent="0.3">
      <c r="A107" t="s">
        <v>24</v>
      </c>
      <c r="B107" t="s">
        <v>25</v>
      </c>
      <c r="C107" t="s">
        <v>50</v>
      </c>
      <c r="D107" t="s">
        <v>51</v>
      </c>
      <c r="E107" t="s">
        <v>168</v>
      </c>
      <c r="F107" t="s">
        <v>29</v>
      </c>
      <c r="G107" t="s">
        <v>30</v>
      </c>
      <c r="H107">
        <v>123456</v>
      </c>
      <c r="I107" s="4">
        <v>46254</v>
      </c>
      <c r="J107" t="s">
        <v>44</v>
      </c>
      <c r="M107" s="4">
        <v>46254</v>
      </c>
      <c r="N107" s="4">
        <v>46254</v>
      </c>
      <c r="O107">
        <v>1</v>
      </c>
      <c r="Q107" t="s">
        <v>32</v>
      </c>
      <c r="T107" s="5">
        <v>1287.6600000000001</v>
      </c>
      <c r="U107" s="5">
        <v>0</v>
      </c>
      <c r="V107" s="5">
        <f t="shared" si="3"/>
        <v>1287.6600000000001</v>
      </c>
    </row>
    <row r="108" spans="1:22" x14ac:dyDescent="0.3">
      <c r="A108" t="s">
        <v>24</v>
      </c>
      <c r="B108" t="s">
        <v>25</v>
      </c>
      <c r="C108" t="s">
        <v>33</v>
      </c>
      <c r="D108" t="s">
        <v>34</v>
      </c>
      <c r="E108" t="s">
        <v>169</v>
      </c>
      <c r="F108" t="s">
        <v>29</v>
      </c>
      <c r="G108" t="s">
        <v>30</v>
      </c>
      <c r="H108">
        <v>123456</v>
      </c>
      <c r="I108" s="4">
        <v>46254</v>
      </c>
      <c r="J108" t="s">
        <v>62</v>
      </c>
      <c r="M108" s="4">
        <v>46254</v>
      </c>
      <c r="N108" s="4">
        <v>46254</v>
      </c>
      <c r="O108">
        <v>1</v>
      </c>
      <c r="Q108" t="s">
        <v>32</v>
      </c>
      <c r="T108" s="5">
        <v>4564.49</v>
      </c>
      <c r="U108" s="5">
        <v>0</v>
      </c>
      <c r="V108" s="5">
        <f t="shared" si="3"/>
        <v>4564.49</v>
      </c>
    </row>
    <row r="109" spans="1:22" x14ac:dyDescent="0.3">
      <c r="A109" t="s">
        <v>24</v>
      </c>
      <c r="B109" t="s">
        <v>25</v>
      </c>
      <c r="C109" t="s">
        <v>50</v>
      </c>
      <c r="D109" t="s">
        <v>51</v>
      </c>
      <c r="E109" t="s">
        <v>170</v>
      </c>
      <c r="F109" t="s">
        <v>29</v>
      </c>
      <c r="G109" t="s">
        <v>30</v>
      </c>
      <c r="H109">
        <v>123456</v>
      </c>
      <c r="I109" s="4">
        <v>46254</v>
      </c>
      <c r="J109" t="s">
        <v>44</v>
      </c>
      <c r="M109" s="4">
        <v>46254</v>
      </c>
      <c r="N109" s="4">
        <v>46254</v>
      </c>
      <c r="O109">
        <v>1</v>
      </c>
      <c r="Q109" t="s">
        <v>32</v>
      </c>
      <c r="T109" s="5">
        <v>13343.75</v>
      </c>
      <c r="U109" s="5">
        <v>0</v>
      </c>
      <c r="V109" s="5">
        <f t="shared" si="3"/>
        <v>13343.75</v>
      </c>
    </row>
    <row r="110" spans="1:22" x14ac:dyDescent="0.3">
      <c r="A110" t="s">
        <v>24</v>
      </c>
      <c r="B110" t="s">
        <v>25</v>
      </c>
      <c r="C110" t="s">
        <v>88</v>
      </c>
      <c r="D110" t="s">
        <v>89</v>
      </c>
      <c r="E110" t="s">
        <v>171</v>
      </c>
      <c r="F110" t="s">
        <v>29</v>
      </c>
      <c r="G110" t="s">
        <v>30</v>
      </c>
      <c r="H110">
        <v>123456</v>
      </c>
      <c r="I110" s="4">
        <v>46254</v>
      </c>
      <c r="J110" t="s">
        <v>84</v>
      </c>
      <c r="M110" s="4">
        <v>46254</v>
      </c>
      <c r="N110" s="4">
        <v>46254</v>
      </c>
      <c r="O110">
        <v>1</v>
      </c>
      <c r="Q110" t="s">
        <v>32</v>
      </c>
      <c r="T110" s="5">
        <v>13860.18</v>
      </c>
      <c r="U110" s="5">
        <v>0</v>
      </c>
      <c r="V110" s="5">
        <f t="shared" si="3"/>
        <v>13860.18</v>
      </c>
    </row>
    <row r="111" spans="1:22" x14ac:dyDescent="0.3">
      <c r="A111" t="s">
        <v>24</v>
      </c>
      <c r="B111" t="s">
        <v>25</v>
      </c>
      <c r="C111" t="s">
        <v>33</v>
      </c>
      <c r="D111" t="s">
        <v>34</v>
      </c>
      <c r="E111" t="s">
        <v>172</v>
      </c>
      <c r="F111" t="s">
        <v>29</v>
      </c>
      <c r="G111" t="s">
        <v>30</v>
      </c>
      <c r="H111">
        <v>123456</v>
      </c>
      <c r="I111" s="4">
        <v>46254</v>
      </c>
      <c r="J111" t="s">
        <v>62</v>
      </c>
      <c r="M111" s="4">
        <v>46254</v>
      </c>
      <c r="N111" s="4">
        <v>46254</v>
      </c>
      <c r="O111">
        <v>1</v>
      </c>
      <c r="Q111" t="s">
        <v>32</v>
      </c>
      <c r="T111" s="5">
        <v>14358.04</v>
      </c>
      <c r="U111" s="5">
        <v>0</v>
      </c>
      <c r="V111" s="5">
        <f t="shared" si="3"/>
        <v>14358.04</v>
      </c>
    </row>
    <row r="112" spans="1:22" x14ac:dyDescent="0.3">
      <c r="A112" t="s">
        <v>24</v>
      </c>
      <c r="B112" t="s">
        <v>25</v>
      </c>
      <c r="C112" t="s">
        <v>50</v>
      </c>
      <c r="D112" t="s">
        <v>51</v>
      </c>
      <c r="E112" t="s">
        <v>173</v>
      </c>
      <c r="F112" t="s">
        <v>29</v>
      </c>
      <c r="G112" t="s">
        <v>30</v>
      </c>
      <c r="H112">
        <v>123456</v>
      </c>
      <c r="I112" s="4">
        <v>46254</v>
      </c>
      <c r="J112" t="s">
        <v>40</v>
      </c>
      <c r="M112" s="4">
        <v>46254</v>
      </c>
      <c r="N112" s="4">
        <v>46254</v>
      </c>
      <c r="O112">
        <v>1</v>
      </c>
      <c r="Q112" t="s">
        <v>32</v>
      </c>
      <c r="T112" s="5">
        <v>9086.07</v>
      </c>
      <c r="U112" s="5">
        <v>0</v>
      </c>
      <c r="V112" s="5">
        <f t="shared" si="3"/>
        <v>9086.07</v>
      </c>
    </row>
    <row r="113" spans="1:22" x14ac:dyDescent="0.3">
      <c r="A113" t="s">
        <v>24</v>
      </c>
      <c r="B113" t="s">
        <v>25</v>
      </c>
      <c r="C113" t="s">
        <v>81</v>
      </c>
      <c r="D113" t="s">
        <v>82</v>
      </c>
      <c r="E113" t="s">
        <v>174</v>
      </c>
      <c r="F113" t="s">
        <v>29</v>
      </c>
      <c r="G113" t="s">
        <v>30</v>
      </c>
      <c r="H113">
        <v>123456</v>
      </c>
      <c r="I113" s="4">
        <v>46254</v>
      </c>
      <c r="J113" t="s">
        <v>40</v>
      </c>
      <c r="M113" s="4">
        <v>46254</v>
      </c>
      <c r="N113" s="4">
        <v>46254</v>
      </c>
      <c r="O113">
        <v>1</v>
      </c>
      <c r="Q113" t="s">
        <v>32</v>
      </c>
      <c r="T113" s="5">
        <v>1900.3</v>
      </c>
      <c r="U113" s="5">
        <v>0</v>
      </c>
      <c r="V113" s="5">
        <f t="shared" si="3"/>
        <v>1900.3</v>
      </c>
    </row>
    <row r="114" spans="1:22" x14ac:dyDescent="0.3">
      <c r="A114" t="s">
        <v>45</v>
      </c>
      <c r="B114" t="s">
        <v>46</v>
      </c>
      <c r="C114" t="s">
        <v>98</v>
      </c>
      <c r="D114" t="s">
        <v>99</v>
      </c>
      <c r="E114" t="s">
        <v>175</v>
      </c>
      <c r="F114" t="s">
        <v>29</v>
      </c>
      <c r="G114" t="s">
        <v>30</v>
      </c>
      <c r="H114">
        <v>123456</v>
      </c>
      <c r="I114" s="4">
        <v>46254</v>
      </c>
      <c r="J114" t="s">
        <v>31</v>
      </c>
      <c r="M114" s="4">
        <v>46254</v>
      </c>
      <c r="N114" s="4">
        <v>46254</v>
      </c>
      <c r="O114">
        <v>1</v>
      </c>
      <c r="Q114" t="s">
        <v>32</v>
      </c>
      <c r="T114" s="5">
        <v>9213.1200000000008</v>
      </c>
      <c r="U114" s="5">
        <v>0</v>
      </c>
      <c r="V114" s="5">
        <f t="shared" si="3"/>
        <v>9213.1200000000008</v>
      </c>
    </row>
    <row r="115" spans="1:22" x14ac:dyDescent="0.3">
      <c r="A115" t="s">
        <v>24</v>
      </c>
      <c r="B115" t="s">
        <v>25</v>
      </c>
      <c r="C115" t="s">
        <v>76</v>
      </c>
      <c r="D115" t="s">
        <v>77</v>
      </c>
      <c r="E115" t="s">
        <v>176</v>
      </c>
      <c r="F115" t="s">
        <v>29</v>
      </c>
      <c r="G115" t="s">
        <v>30</v>
      </c>
      <c r="H115">
        <v>123456</v>
      </c>
      <c r="I115" s="4">
        <v>46254</v>
      </c>
      <c r="J115" t="s">
        <v>62</v>
      </c>
      <c r="M115" s="4">
        <v>46254</v>
      </c>
      <c r="N115" s="4">
        <v>46254</v>
      </c>
      <c r="O115">
        <v>1</v>
      </c>
      <c r="Q115" t="s">
        <v>32</v>
      </c>
      <c r="T115" s="5">
        <v>9928.7000000000007</v>
      </c>
      <c r="U115" s="5">
        <v>0</v>
      </c>
      <c r="V115" s="5">
        <f t="shared" si="3"/>
        <v>9928.7000000000007</v>
      </c>
    </row>
    <row r="116" spans="1:22" x14ac:dyDescent="0.3">
      <c r="A116" t="s">
        <v>24</v>
      </c>
      <c r="B116" t="s">
        <v>25</v>
      </c>
      <c r="C116" t="s">
        <v>33</v>
      </c>
      <c r="D116" t="s">
        <v>34</v>
      </c>
      <c r="E116" t="s">
        <v>177</v>
      </c>
      <c r="F116" t="s">
        <v>29</v>
      </c>
      <c r="G116" t="s">
        <v>30</v>
      </c>
      <c r="H116">
        <v>123456</v>
      </c>
      <c r="I116" s="4">
        <v>46254</v>
      </c>
      <c r="J116" t="s">
        <v>36</v>
      </c>
      <c r="M116" s="4">
        <v>46254</v>
      </c>
      <c r="N116" s="4">
        <v>46254</v>
      </c>
      <c r="O116">
        <v>1</v>
      </c>
      <c r="Q116" t="s">
        <v>32</v>
      </c>
      <c r="T116" s="5">
        <v>5676.79</v>
      </c>
      <c r="U116" s="5">
        <v>0</v>
      </c>
      <c r="V116" s="5">
        <f t="shared" si="3"/>
        <v>5676.79</v>
      </c>
    </row>
    <row r="117" spans="1:22" x14ac:dyDescent="0.3">
      <c r="A117" t="s">
        <v>24</v>
      </c>
      <c r="B117" t="s">
        <v>25</v>
      </c>
      <c r="C117" t="s">
        <v>81</v>
      </c>
      <c r="D117" t="s">
        <v>82</v>
      </c>
      <c r="E117" t="s">
        <v>178</v>
      </c>
      <c r="F117" t="s">
        <v>29</v>
      </c>
      <c r="G117" t="s">
        <v>30</v>
      </c>
      <c r="H117">
        <v>123456</v>
      </c>
      <c r="I117" s="4">
        <v>46254</v>
      </c>
      <c r="J117" t="s">
        <v>44</v>
      </c>
      <c r="M117" s="4">
        <v>46254</v>
      </c>
      <c r="N117" s="4">
        <v>46254</v>
      </c>
      <c r="O117">
        <v>1</v>
      </c>
      <c r="Q117" t="s">
        <v>32</v>
      </c>
      <c r="T117" s="5">
        <v>7387.79</v>
      </c>
      <c r="U117" s="5">
        <v>0</v>
      </c>
      <c r="V117" s="5">
        <f t="shared" si="3"/>
        <v>7387.79</v>
      </c>
    </row>
    <row r="118" spans="1:22" x14ac:dyDescent="0.3">
      <c r="A118" t="s">
        <v>24</v>
      </c>
      <c r="B118" t="s">
        <v>25</v>
      </c>
      <c r="C118" t="s">
        <v>66</v>
      </c>
      <c r="D118" t="s">
        <v>67</v>
      </c>
      <c r="E118" t="s">
        <v>179</v>
      </c>
      <c r="F118" t="s">
        <v>29</v>
      </c>
      <c r="G118" t="s">
        <v>30</v>
      </c>
      <c r="H118">
        <v>123456</v>
      </c>
      <c r="I118" s="4">
        <v>46254</v>
      </c>
      <c r="J118" t="s">
        <v>84</v>
      </c>
      <c r="M118" s="4">
        <v>46254</v>
      </c>
      <c r="N118" s="4">
        <v>46254</v>
      </c>
      <c r="O118">
        <v>1</v>
      </c>
      <c r="Q118" t="s">
        <v>32</v>
      </c>
      <c r="T118" s="5">
        <v>4764.6099999999997</v>
      </c>
      <c r="U118" s="5">
        <v>0</v>
      </c>
      <c r="V118" s="5">
        <f t="shared" si="3"/>
        <v>4764.6099999999997</v>
      </c>
    </row>
    <row r="119" spans="1:22" x14ac:dyDescent="0.3">
      <c r="A119" t="s">
        <v>24</v>
      </c>
      <c r="B119" t="s">
        <v>25</v>
      </c>
      <c r="C119" t="s">
        <v>41</v>
      </c>
      <c r="D119" t="s">
        <v>42</v>
      </c>
      <c r="E119" t="s">
        <v>180</v>
      </c>
      <c r="F119" t="s">
        <v>29</v>
      </c>
      <c r="G119" t="s">
        <v>30</v>
      </c>
      <c r="H119">
        <v>123456</v>
      </c>
      <c r="I119" s="4">
        <v>46254</v>
      </c>
      <c r="J119" t="s">
        <v>31</v>
      </c>
      <c r="M119" s="4">
        <v>46254</v>
      </c>
      <c r="N119" s="4">
        <v>46254</v>
      </c>
      <c r="O119">
        <v>1</v>
      </c>
      <c r="Q119" t="s">
        <v>32</v>
      </c>
      <c r="T119" s="5">
        <v>314.39999999999998</v>
      </c>
      <c r="U119" s="5">
        <v>0</v>
      </c>
      <c r="V119" s="5">
        <f t="shared" si="3"/>
        <v>314.39999999999998</v>
      </c>
    </row>
    <row r="120" spans="1:22" x14ac:dyDescent="0.3">
      <c r="A120" t="s">
        <v>24</v>
      </c>
      <c r="B120" t="s">
        <v>25</v>
      </c>
      <c r="C120" t="s">
        <v>88</v>
      </c>
      <c r="D120" t="s">
        <v>89</v>
      </c>
      <c r="E120" t="s">
        <v>181</v>
      </c>
      <c r="F120" t="s">
        <v>29</v>
      </c>
      <c r="G120" t="s">
        <v>30</v>
      </c>
      <c r="H120">
        <v>123456</v>
      </c>
      <c r="I120" s="4">
        <v>46254</v>
      </c>
      <c r="J120" t="s">
        <v>44</v>
      </c>
      <c r="M120" s="4">
        <v>46254</v>
      </c>
      <c r="N120" s="4">
        <v>46254</v>
      </c>
      <c r="O120">
        <v>1</v>
      </c>
      <c r="Q120" t="s">
        <v>32</v>
      </c>
      <c r="T120" s="5">
        <v>12954.11</v>
      </c>
      <c r="U120" s="5">
        <v>0</v>
      </c>
      <c r="V120" s="5">
        <f t="shared" si="3"/>
        <v>12954.11</v>
      </c>
    </row>
    <row r="121" spans="1:22" x14ac:dyDescent="0.3">
      <c r="A121" t="s">
        <v>24</v>
      </c>
      <c r="B121" t="s">
        <v>25</v>
      </c>
      <c r="C121" t="s">
        <v>26</v>
      </c>
      <c r="D121" t="s">
        <v>27</v>
      </c>
      <c r="E121" t="s">
        <v>182</v>
      </c>
      <c r="F121" t="s">
        <v>29</v>
      </c>
      <c r="G121" t="s">
        <v>30</v>
      </c>
      <c r="H121">
        <v>123456</v>
      </c>
      <c r="I121" s="4">
        <v>46254</v>
      </c>
      <c r="J121" t="s">
        <v>31</v>
      </c>
      <c r="M121" s="4">
        <v>46254</v>
      </c>
      <c r="N121" s="4">
        <v>46254</v>
      </c>
      <c r="O121">
        <v>1</v>
      </c>
      <c r="Q121" t="s">
        <v>32</v>
      </c>
      <c r="T121" s="5">
        <v>6194.48</v>
      </c>
      <c r="U121" s="5">
        <v>0</v>
      </c>
      <c r="V121" s="5">
        <f t="shared" si="3"/>
        <v>6194.48</v>
      </c>
    </row>
    <row r="122" spans="1:22" x14ac:dyDescent="0.3">
      <c r="A122" t="s">
        <v>24</v>
      </c>
      <c r="B122" t="s">
        <v>25</v>
      </c>
      <c r="C122" t="s">
        <v>81</v>
      </c>
      <c r="D122" t="s">
        <v>82</v>
      </c>
      <c r="E122" t="s">
        <v>183</v>
      </c>
      <c r="F122" t="s">
        <v>29</v>
      </c>
      <c r="G122" t="s">
        <v>30</v>
      </c>
      <c r="H122">
        <v>123456</v>
      </c>
      <c r="I122" s="4">
        <v>46254</v>
      </c>
      <c r="J122" t="s">
        <v>36</v>
      </c>
      <c r="M122" s="4">
        <v>46254</v>
      </c>
      <c r="N122" s="4">
        <v>46254</v>
      </c>
      <c r="O122">
        <v>1</v>
      </c>
      <c r="Q122" t="s">
        <v>32</v>
      </c>
      <c r="T122" s="5">
        <v>6648.01</v>
      </c>
      <c r="U122" s="5">
        <v>0</v>
      </c>
      <c r="V122" s="5">
        <f t="shared" si="3"/>
        <v>6648.01</v>
      </c>
    </row>
    <row r="123" spans="1:22" x14ac:dyDescent="0.3">
      <c r="A123" t="s">
        <v>45</v>
      </c>
      <c r="B123" t="s">
        <v>46</v>
      </c>
      <c r="C123" t="s">
        <v>129</v>
      </c>
      <c r="D123" t="s">
        <v>130</v>
      </c>
      <c r="E123" t="s">
        <v>184</v>
      </c>
      <c r="F123" t="s">
        <v>29</v>
      </c>
      <c r="G123" t="s">
        <v>30</v>
      </c>
      <c r="H123">
        <v>123456</v>
      </c>
      <c r="I123" s="4">
        <v>46254</v>
      </c>
      <c r="J123" t="s">
        <v>31</v>
      </c>
      <c r="M123" s="4">
        <v>46254</v>
      </c>
      <c r="N123" s="4">
        <v>46254</v>
      </c>
      <c r="O123">
        <v>1</v>
      </c>
      <c r="Q123" t="s">
        <v>32</v>
      </c>
      <c r="T123" s="5">
        <v>8052.95</v>
      </c>
      <c r="U123" s="5">
        <v>0</v>
      </c>
      <c r="V123" s="5">
        <f t="shared" si="3"/>
        <v>8052.95</v>
      </c>
    </row>
    <row r="124" spans="1:22" x14ac:dyDescent="0.3">
      <c r="A124" t="s">
        <v>24</v>
      </c>
      <c r="B124" t="s">
        <v>25</v>
      </c>
      <c r="C124" t="s">
        <v>41</v>
      </c>
      <c r="D124" t="s">
        <v>42</v>
      </c>
      <c r="E124" t="s">
        <v>185</v>
      </c>
      <c r="F124" t="s">
        <v>29</v>
      </c>
      <c r="G124" t="s">
        <v>30</v>
      </c>
      <c r="H124">
        <v>123456</v>
      </c>
      <c r="I124" s="4">
        <v>46254</v>
      </c>
      <c r="J124" t="s">
        <v>36</v>
      </c>
      <c r="M124" s="4">
        <v>46254</v>
      </c>
      <c r="N124" s="4">
        <v>46254</v>
      </c>
      <c r="O124">
        <v>1</v>
      </c>
      <c r="Q124" t="s">
        <v>32</v>
      </c>
      <c r="T124" s="5">
        <v>11451.19</v>
      </c>
      <c r="U124" s="5">
        <v>0</v>
      </c>
      <c r="V124" s="5">
        <f t="shared" si="3"/>
        <v>11451.19</v>
      </c>
    </row>
    <row r="125" spans="1:22" x14ac:dyDescent="0.3">
      <c r="A125" t="s">
        <v>24</v>
      </c>
      <c r="B125" t="s">
        <v>25</v>
      </c>
      <c r="C125" t="s">
        <v>33</v>
      </c>
      <c r="D125" t="s">
        <v>34</v>
      </c>
      <c r="E125" t="s">
        <v>186</v>
      </c>
      <c r="F125" t="s">
        <v>29</v>
      </c>
      <c r="G125" t="s">
        <v>30</v>
      </c>
      <c r="H125">
        <v>123456</v>
      </c>
      <c r="I125" s="4">
        <v>46254</v>
      </c>
      <c r="J125" t="s">
        <v>62</v>
      </c>
      <c r="M125" s="4">
        <v>46254</v>
      </c>
      <c r="N125" s="4">
        <v>46254</v>
      </c>
      <c r="O125">
        <v>1</v>
      </c>
      <c r="Q125" t="s">
        <v>32</v>
      </c>
      <c r="T125" s="5">
        <v>9716.2800000000007</v>
      </c>
      <c r="U125" s="5">
        <v>0</v>
      </c>
      <c r="V125" s="5">
        <f t="shared" si="3"/>
        <v>9716.2800000000007</v>
      </c>
    </row>
    <row r="126" spans="1:22" x14ac:dyDescent="0.3">
      <c r="A126" t="s">
        <v>24</v>
      </c>
      <c r="B126" t="s">
        <v>25</v>
      </c>
      <c r="C126" t="s">
        <v>54</v>
      </c>
      <c r="D126" t="s">
        <v>55</v>
      </c>
      <c r="E126" t="s">
        <v>187</v>
      </c>
      <c r="F126" t="s">
        <v>29</v>
      </c>
      <c r="G126" t="s">
        <v>30</v>
      </c>
      <c r="H126">
        <v>123456</v>
      </c>
      <c r="I126" s="4">
        <v>46254</v>
      </c>
      <c r="J126" t="s">
        <v>31</v>
      </c>
      <c r="M126" s="4">
        <v>46254</v>
      </c>
      <c r="N126" s="4">
        <v>46254</v>
      </c>
      <c r="O126">
        <v>1</v>
      </c>
      <c r="Q126" t="s">
        <v>32</v>
      </c>
      <c r="T126" s="5">
        <v>5408.74</v>
      </c>
      <c r="U126" s="5">
        <v>0</v>
      </c>
      <c r="V126" s="5">
        <f t="shared" si="3"/>
        <v>5408.74</v>
      </c>
    </row>
    <row r="127" spans="1:22" x14ac:dyDescent="0.3">
      <c r="A127" t="s">
        <v>24</v>
      </c>
      <c r="B127" t="s">
        <v>25</v>
      </c>
      <c r="C127" t="s">
        <v>33</v>
      </c>
      <c r="D127" t="s">
        <v>34</v>
      </c>
      <c r="E127" t="s">
        <v>188</v>
      </c>
      <c r="F127" t="s">
        <v>29</v>
      </c>
      <c r="G127" t="s">
        <v>30</v>
      </c>
      <c r="H127">
        <v>123456</v>
      </c>
      <c r="I127" s="4">
        <v>46254</v>
      </c>
      <c r="J127" t="s">
        <v>62</v>
      </c>
      <c r="M127" s="4">
        <v>46254</v>
      </c>
      <c r="N127" s="4">
        <v>46254</v>
      </c>
      <c r="O127">
        <v>1</v>
      </c>
      <c r="Q127" t="s">
        <v>32</v>
      </c>
      <c r="T127" s="5">
        <v>7704.6</v>
      </c>
      <c r="U127" s="5">
        <v>0</v>
      </c>
      <c r="V127" s="5">
        <f t="shared" si="3"/>
        <v>7704.6</v>
      </c>
    </row>
    <row r="128" spans="1:22" x14ac:dyDescent="0.3">
      <c r="A128" t="s">
        <v>24</v>
      </c>
      <c r="B128" t="s">
        <v>25</v>
      </c>
      <c r="C128" t="s">
        <v>66</v>
      </c>
      <c r="D128" t="s">
        <v>67</v>
      </c>
      <c r="E128" t="s">
        <v>189</v>
      </c>
      <c r="F128" t="s">
        <v>29</v>
      </c>
      <c r="G128" t="s">
        <v>30</v>
      </c>
      <c r="H128">
        <v>123456</v>
      </c>
      <c r="I128" s="4">
        <v>46254</v>
      </c>
      <c r="J128" t="s">
        <v>31</v>
      </c>
      <c r="M128" s="4">
        <v>46254</v>
      </c>
      <c r="N128" s="4">
        <v>46254</v>
      </c>
      <c r="O128">
        <v>1</v>
      </c>
      <c r="Q128" t="s">
        <v>32</v>
      </c>
      <c r="T128" s="5">
        <v>6867.74</v>
      </c>
      <c r="U128" s="5">
        <v>0</v>
      </c>
      <c r="V128" s="5">
        <f t="shared" si="3"/>
        <v>6867.74</v>
      </c>
    </row>
    <row r="129" spans="1:22" x14ac:dyDescent="0.3">
      <c r="A129" t="s">
        <v>24</v>
      </c>
      <c r="B129" t="s">
        <v>25</v>
      </c>
      <c r="C129" t="s">
        <v>81</v>
      </c>
      <c r="D129" t="s">
        <v>82</v>
      </c>
      <c r="E129" t="s">
        <v>190</v>
      </c>
      <c r="F129" t="s">
        <v>29</v>
      </c>
      <c r="G129" t="s">
        <v>30</v>
      </c>
      <c r="H129">
        <v>123456</v>
      </c>
      <c r="I129" s="4">
        <v>46254</v>
      </c>
      <c r="J129" t="s">
        <v>36</v>
      </c>
      <c r="M129" s="4">
        <v>46254</v>
      </c>
      <c r="N129" s="4">
        <v>46254</v>
      </c>
      <c r="O129">
        <v>1</v>
      </c>
      <c r="Q129" t="s">
        <v>32</v>
      </c>
      <c r="T129" s="5">
        <v>5585.69</v>
      </c>
      <c r="U129" s="5">
        <v>0</v>
      </c>
      <c r="V129" s="5">
        <f t="shared" si="3"/>
        <v>5585.69</v>
      </c>
    </row>
    <row r="130" spans="1:22" x14ac:dyDescent="0.3">
      <c r="A130" t="s">
        <v>24</v>
      </c>
      <c r="B130" t="s">
        <v>25</v>
      </c>
      <c r="C130" t="s">
        <v>76</v>
      </c>
      <c r="D130" t="s">
        <v>77</v>
      </c>
      <c r="E130" t="s">
        <v>191</v>
      </c>
      <c r="F130" t="s">
        <v>29</v>
      </c>
      <c r="G130" t="s">
        <v>30</v>
      </c>
      <c r="H130">
        <v>123456</v>
      </c>
      <c r="I130" s="4">
        <v>46254</v>
      </c>
      <c r="J130" t="s">
        <v>84</v>
      </c>
      <c r="M130" s="4">
        <v>46254</v>
      </c>
      <c r="N130" s="4">
        <v>46254</v>
      </c>
      <c r="O130">
        <v>1</v>
      </c>
      <c r="Q130" t="s">
        <v>32</v>
      </c>
      <c r="T130" s="5">
        <v>5921.15</v>
      </c>
      <c r="U130" s="5">
        <v>0</v>
      </c>
      <c r="V130" s="5">
        <f t="shared" si="3"/>
        <v>5921.15</v>
      </c>
    </row>
    <row r="131" spans="1:22" x14ac:dyDescent="0.3">
      <c r="A131" t="s">
        <v>24</v>
      </c>
      <c r="B131" t="s">
        <v>25</v>
      </c>
      <c r="C131" t="s">
        <v>76</v>
      </c>
      <c r="D131" t="s">
        <v>77</v>
      </c>
      <c r="E131" t="s">
        <v>192</v>
      </c>
      <c r="F131" t="s">
        <v>29</v>
      </c>
      <c r="G131" t="s">
        <v>30</v>
      </c>
      <c r="H131">
        <v>123456</v>
      </c>
      <c r="I131" s="4">
        <v>46254</v>
      </c>
      <c r="J131" t="s">
        <v>44</v>
      </c>
      <c r="M131" s="4">
        <v>46254</v>
      </c>
      <c r="N131" s="4">
        <v>46254</v>
      </c>
      <c r="O131">
        <v>1</v>
      </c>
      <c r="Q131" t="s">
        <v>32</v>
      </c>
      <c r="T131" s="5">
        <v>2108.48</v>
      </c>
      <c r="U131" s="5">
        <v>0</v>
      </c>
      <c r="V131" s="5">
        <f t="shared" si="3"/>
        <v>2108.48</v>
      </c>
    </row>
    <row r="132" spans="1:22" x14ac:dyDescent="0.3">
      <c r="A132" t="s">
        <v>24</v>
      </c>
      <c r="B132" t="s">
        <v>25</v>
      </c>
      <c r="C132" t="s">
        <v>33</v>
      </c>
      <c r="D132" t="s">
        <v>34</v>
      </c>
      <c r="E132" t="s">
        <v>193</v>
      </c>
      <c r="F132" t="s">
        <v>29</v>
      </c>
      <c r="G132" t="s">
        <v>30</v>
      </c>
      <c r="H132">
        <v>123456</v>
      </c>
      <c r="I132" s="4">
        <v>46254</v>
      </c>
      <c r="J132" t="s">
        <v>62</v>
      </c>
      <c r="M132" s="4">
        <v>46254</v>
      </c>
      <c r="N132" s="4">
        <v>46254</v>
      </c>
      <c r="O132">
        <v>1</v>
      </c>
      <c r="Q132" t="s">
        <v>32</v>
      </c>
      <c r="T132" s="5">
        <v>1583.1</v>
      </c>
      <c r="U132" s="5">
        <v>0</v>
      </c>
      <c r="V132" s="5">
        <f t="shared" si="3"/>
        <v>1583.1</v>
      </c>
    </row>
    <row r="133" spans="1:22" x14ac:dyDescent="0.3">
      <c r="A133" t="s">
        <v>24</v>
      </c>
      <c r="B133" t="s">
        <v>25</v>
      </c>
      <c r="C133" t="s">
        <v>88</v>
      </c>
      <c r="D133" t="s">
        <v>89</v>
      </c>
      <c r="E133" t="s">
        <v>194</v>
      </c>
      <c r="F133" t="s">
        <v>29</v>
      </c>
      <c r="G133" t="s">
        <v>30</v>
      </c>
      <c r="H133">
        <v>123456</v>
      </c>
      <c r="I133" s="4">
        <v>46254</v>
      </c>
      <c r="J133" t="s">
        <v>36</v>
      </c>
      <c r="M133" s="4">
        <v>46254</v>
      </c>
      <c r="N133" s="4">
        <v>46254</v>
      </c>
      <c r="O133">
        <v>1</v>
      </c>
      <c r="Q133" t="s">
        <v>32</v>
      </c>
      <c r="T133" s="5">
        <v>1342.04</v>
      </c>
      <c r="U133" s="5">
        <v>0</v>
      </c>
      <c r="V133" s="5">
        <f t="shared" si="3"/>
        <v>1342.04</v>
      </c>
    </row>
    <row r="134" spans="1:22" x14ac:dyDescent="0.3">
      <c r="A134" t="s">
        <v>24</v>
      </c>
      <c r="B134" t="s">
        <v>25</v>
      </c>
      <c r="C134" t="s">
        <v>33</v>
      </c>
      <c r="D134" t="s">
        <v>34</v>
      </c>
      <c r="E134" t="s">
        <v>195</v>
      </c>
      <c r="F134" t="s">
        <v>29</v>
      </c>
      <c r="G134" t="s">
        <v>30</v>
      </c>
      <c r="H134">
        <v>123456</v>
      </c>
      <c r="I134" s="4">
        <v>46254</v>
      </c>
      <c r="J134" t="s">
        <v>84</v>
      </c>
      <c r="M134" s="4">
        <v>46254</v>
      </c>
      <c r="N134" s="4">
        <v>46254</v>
      </c>
      <c r="O134">
        <v>1</v>
      </c>
      <c r="Q134" t="s">
        <v>32</v>
      </c>
      <c r="T134" s="5">
        <v>11612.25</v>
      </c>
      <c r="U134" s="5">
        <v>0</v>
      </c>
      <c r="V134" s="5">
        <f t="shared" si="3"/>
        <v>11612.25</v>
      </c>
    </row>
    <row r="135" spans="1:22" x14ac:dyDescent="0.3">
      <c r="A135" t="s">
        <v>24</v>
      </c>
      <c r="B135" t="s">
        <v>25</v>
      </c>
      <c r="C135" t="s">
        <v>37</v>
      </c>
      <c r="D135" t="s">
        <v>38</v>
      </c>
      <c r="E135" t="s">
        <v>196</v>
      </c>
      <c r="F135" t="s">
        <v>29</v>
      </c>
      <c r="G135" t="s">
        <v>30</v>
      </c>
      <c r="H135">
        <v>123456</v>
      </c>
      <c r="I135" s="4">
        <v>46254</v>
      </c>
      <c r="J135" t="s">
        <v>36</v>
      </c>
      <c r="M135" s="4">
        <v>46254</v>
      </c>
      <c r="N135" s="4">
        <v>46254</v>
      </c>
      <c r="O135">
        <v>1</v>
      </c>
      <c r="Q135" t="s">
        <v>32</v>
      </c>
      <c r="T135" s="5">
        <v>8103.37</v>
      </c>
      <c r="U135" s="5">
        <v>0</v>
      </c>
      <c r="V135" s="5">
        <f t="shared" ref="V135:V166" si="4">T135+U135</f>
        <v>8103.37</v>
      </c>
    </row>
    <row r="136" spans="1:22" x14ac:dyDescent="0.3">
      <c r="A136" t="s">
        <v>24</v>
      </c>
      <c r="B136" t="s">
        <v>25</v>
      </c>
      <c r="C136" t="s">
        <v>76</v>
      </c>
      <c r="D136" t="s">
        <v>77</v>
      </c>
      <c r="E136" t="s">
        <v>197</v>
      </c>
      <c r="F136" t="s">
        <v>29</v>
      </c>
      <c r="G136" t="s">
        <v>30</v>
      </c>
      <c r="H136">
        <v>123456</v>
      </c>
      <c r="I136" s="4">
        <v>46254</v>
      </c>
      <c r="J136" t="s">
        <v>62</v>
      </c>
      <c r="M136" s="4">
        <v>46254</v>
      </c>
      <c r="N136" s="4">
        <v>46254</v>
      </c>
      <c r="O136">
        <v>1</v>
      </c>
      <c r="Q136" t="s">
        <v>32</v>
      </c>
      <c r="T136" s="5">
        <v>8006.4</v>
      </c>
      <c r="U136" s="5">
        <v>0</v>
      </c>
      <c r="V136" s="5">
        <f t="shared" si="4"/>
        <v>8006.4</v>
      </c>
    </row>
    <row r="137" spans="1:22" x14ac:dyDescent="0.3">
      <c r="A137" t="s">
        <v>24</v>
      </c>
      <c r="B137" t="s">
        <v>25</v>
      </c>
      <c r="C137" t="s">
        <v>37</v>
      </c>
      <c r="D137" t="s">
        <v>38</v>
      </c>
      <c r="E137" t="s">
        <v>198</v>
      </c>
      <c r="F137" t="s">
        <v>29</v>
      </c>
      <c r="G137" t="s">
        <v>30</v>
      </c>
      <c r="H137">
        <v>123456</v>
      </c>
      <c r="I137" s="4">
        <v>46254</v>
      </c>
      <c r="J137" t="s">
        <v>31</v>
      </c>
      <c r="M137" s="4">
        <v>46254</v>
      </c>
      <c r="N137" s="4">
        <v>46254</v>
      </c>
      <c r="O137">
        <v>1</v>
      </c>
      <c r="Q137" t="s">
        <v>32</v>
      </c>
      <c r="T137" s="5">
        <v>10728.73</v>
      </c>
      <c r="U137" s="5">
        <v>0</v>
      </c>
      <c r="V137" s="5">
        <f t="shared" si="4"/>
        <v>10728.73</v>
      </c>
    </row>
    <row r="138" spans="1:22" x14ac:dyDescent="0.3">
      <c r="A138" t="s">
        <v>24</v>
      </c>
      <c r="B138" t="s">
        <v>25</v>
      </c>
      <c r="C138" t="s">
        <v>50</v>
      </c>
      <c r="D138" t="s">
        <v>51</v>
      </c>
      <c r="E138" t="s">
        <v>199</v>
      </c>
      <c r="F138" t="s">
        <v>29</v>
      </c>
      <c r="G138" t="s">
        <v>30</v>
      </c>
      <c r="H138">
        <v>123456</v>
      </c>
      <c r="I138" s="4">
        <v>46254</v>
      </c>
      <c r="J138" t="s">
        <v>36</v>
      </c>
      <c r="M138" s="4">
        <v>46254</v>
      </c>
      <c r="N138" s="4">
        <v>46254</v>
      </c>
      <c r="O138">
        <v>1</v>
      </c>
      <c r="Q138" t="s">
        <v>32</v>
      </c>
      <c r="T138" s="5">
        <v>12287.21</v>
      </c>
      <c r="U138" s="5">
        <v>0</v>
      </c>
      <c r="V138" s="5">
        <f t="shared" si="4"/>
        <v>12287.21</v>
      </c>
    </row>
    <row r="139" spans="1:22" x14ac:dyDescent="0.3">
      <c r="A139" t="s">
        <v>45</v>
      </c>
      <c r="B139" t="s">
        <v>46</v>
      </c>
      <c r="C139" t="s">
        <v>98</v>
      </c>
      <c r="D139" t="s">
        <v>99</v>
      </c>
      <c r="E139" t="s">
        <v>200</v>
      </c>
      <c r="F139" t="s">
        <v>29</v>
      </c>
      <c r="G139" t="s">
        <v>30</v>
      </c>
      <c r="H139">
        <v>123456</v>
      </c>
      <c r="I139" s="4">
        <v>46254</v>
      </c>
      <c r="J139" t="s">
        <v>40</v>
      </c>
      <c r="M139" s="4">
        <v>46254</v>
      </c>
      <c r="N139" s="4">
        <v>46254</v>
      </c>
      <c r="O139">
        <v>1</v>
      </c>
      <c r="Q139" t="s">
        <v>32</v>
      </c>
      <c r="T139" s="5">
        <v>13976.22</v>
      </c>
      <c r="U139" s="5">
        <v>0</v>
      </c>
      <c r="V139" s="5">
        <f t="shared" si="4"/>
        <v>13976.22</v>
      </c>
    </row>
    <row r="140" spans="1:22" x14ac:dyDescent="0.3">
      <c r="A140" t="s">
        <v>45</v>
      </c>
      <c r="B140" t="s">
        <v>46</v>
      </c>
      <c r="C140" t="s">
        <v>58</v>
      </c>
      <c r="D140" t="s">
        <v>59</v>
      </c>
      <c r="E140" t="s">
        <v>201</v>
      </c>
      <c r="F140" t="s">
        <v>29</v>
      </c>
      <c r="G140" t="s">
        <v>30</v>
      </c>
      <c r="H140">
        <v>123456</v>
      </c>
      <c r="I140" s="4">
        <v>46254</v>
      </c>
      <c r="J140" t="s">
        <v>44</v>
      </c>
      <c r="M140" s="4">
        <v>46254</v>
      </c>
      <c r="N140" s="4">
        <v>46254</v>
      </c>
      <c r="O140">
        <v>1</v>
      </c>
      <c r="Q140" t="s">
        <v>32</v>
      </c>
      <c r="T140" s="5">
        <v>9307.15</v>
      </c>
      <c r="U140" s="5">
        <v>0</v>
      </c>
      <c r="V140" s="5">
        <f t="shared" si="4"/>
        <v>9307.15</v>
      </c>
    </row>
    <row r="141" spans="1:22" x14ac:dyDescent="0.3">
      <c r="A141" t="s">
        <v>24</v>
      </c>
      <c r="B141" t="s">
        <v>25</v>
      </c>
      <c r="C141" t="s">
        <v>33</v>
      </c>
      <c r="D141" t="s">
        <v>34</v>
      </c>
      <c r="E141" t="s">
        <v>202</v>
      </c>
      <c r="F141" t="s">
        <v>29</v>
      </c>
      <c r="G141" t="s">
        <v>30</v>
      </c>
      <c r="H141">
        <v>123456</v>
      </c>
      <c r="I141" s="4">
        <v>46254</v>
      </c>
      <c r="J141" t="s">
        <v>40</v>
      </c>
      <c r="M141" s="4">
        <v>46254</v>
      </c>
      <c r="N141" s="4">
        <v>46254</v>
      </c>
      <c r="O141">
        <v>1</v>
      </c>
      <c r="Q141" t="s">
        <v>32</v>
      </c>
      <c r="T141" s="5">
        <v>3717.08</v>
      </c>
      <c r="U141" s="5">
        <v>0</v>
      </c>
      <c r="V141" s="5">
        <f t="shared" si="4"/>
        <v>3717.08</v>
      </c>
    </row>
    <row r="142" spans="1:22" x14ac:dyDescent="0.3">
      <c r="A142" t="s">
        <v>45</v>
      </c>
      <c r="B142" t="s">
        <v>46</v>
      </c>
      <c r="C142" t="s">
        <v>47</v>
      </c>
      <c r="D142" t="s">
        <v>48</v>
      </c>
      <c r="E142" t="s">
        <v>203</v>
      </c>
      <c r="F142" t="s">
        <v>29</v>
      </c>
      <c r="G142" t="s">
        <v>30</v>
      </c>
      <c r="H142">
        <v>123456</v>
      </c>
      <c r="I142" s="4">
        <v>46254</v>
      </c>
      <c r="J142" t="s">
        <v>62</v>
      </c>
      <c r="M142" s="4">
        <v>46254</v>
      </c>
      <c r="N142" s="4">
        <v>46254</v>
      </c>
      <c r="O142">
        <v>1</v>
      </c>
      <c r="Q142" t="s">
        <v>32</v>
      </c>
      <c r="T142" s="5">
        <v>443.24</v>
      </c>
      <c r="U142" s="5">
        <v>0</v>
      </c>
      <c r="V142" s="5">
        <f t="shared" si="4"/>
        <v>443.24</v>
      </c>
    </row>
    <row r="143" spans="1:22" x14ac:dyDescent="0.3">
      <c r="A143" t="s">
        <v>24</v>
      </c>
      <c r="B143" t="s">
        <v>25</v>
      </c>
      <c r="C143" t="s">
        <v>50</v>
      </c>
      <c r="D143" t="s">
        <v>51</v>
      </c>
      <c r="E143" t="s">
        <v>204</v>
      </c>
      <c r="F143" t="s">
        <v>29</v>
      </c>
      <c r="G143" t="s">
        <v>30</v>
      </c>
      <c r="H143">
        <v>123456</v>
      </c>
      <c r="I143" s="4">
        <v>46254</v>
      </c>
      <c r="J143" t="s">
        <v>84</v>
      </c>
      <c r="M143" s="4">
        <v>46254</v>
      </c>
      <c r="N143" s="4">
        <v>46254</v>
      </c>
      <c r="O143">
        <v>1</v>
      </c>
      <c r="Q143" t="s">
        <v>32</v>
      </c>
      <c r="T143" s="5">
        <v>1467.09</v>
      </c>
      <c r="U143" s="5">
        <v>0</v>
      </c>
      <c r="V143" s="5">
        <f t="shared" si="4"/>
        <v>1467.09</v>
      </c>
    </row>
    <row r="144" spans="1:22" x14ac:dyDescent="0.3">
      <c r="A144" t="s">
        <v>24</v>
      </c>
      <c r="B144" t="s">
        <v>25</v>
      </c>
      <c r="C144" t="s">
        <v>81</v>
      </c>
      <c r="D144" t="s">
        <v>82</v>
      </c>
      <c r="E144" t="s">
        <v>205</v>
      </c>
      <c r="F144" t="s">
        <v>29</v>
      </c>
      <c r="G144" t="s">
        <v>30</v>
      </c>
      <c r="H144">
        <v>123456</v>
      </c>
      <c r="I144" s="4">
        <v>46254</v>
      </c>
      <c r="J144" t="s">
        <v>31</v>
      </c>
      <c r="M144" s="4">
        <v>46254</v>
      </c>
      <c r="N144" s="4">
        <v>46254</v>
      </c>
      <c r="O144">
        <v>1</v>
      </c>
      <c r="Q144" t="s">
        <v>32</v>
      </c>
      <c r="T144" s="5">
        <v>9607.93</v>
      </c>
      <c r="U144" s="5">
        <v>0</v>
      </c>
      <c r="V144" s="5">
        <f t="shared" si="4"/>
        <v>9607.93</v>
      </c>
    </row>
    <row r="145" spans="1:22" x14ac:dyDescent="0.3">
      <c r="A145" t="s">
        <v>24</v>
      </c>
      <c r="B145" t="s">
        <v>25</v>
      </c>
      <c r="C145" t="s">
        <v>81</v>
      </c>
      <c r="D145" t="s">
        <v>82</v>
      </c>
      <c r="E145" t="s">
        <v>206</v>
      </c>
      <c r="F145" t="s">
        <v>29</v>
      </c>
      <c r="G145" t="s">
        <v>30</v>
      </c>
      <c r="H145">
        <v>123456</v>
      </c>
      <c r="I145" s="4">
        <v>46254</v>
      </c>
      <c r="J145" t="s">
        <v>64</v>
      </c>
      <c r="M145" s="4">
        <v>46254</v>
      </c>
      <c r="N145" s="4">
        <v>46254</v>
      </c>
      <c r="O145">
        <v>1</v>
      </c>
      <c r="Q145" t="s">
        <v>32</v>
      </c>
      <c r="T145" s="5">
        <v>5121.28</v>
      </c>
      <c r="U145" s="5">
        <v>0</v>
      </c>
      <c r="V145" s="5">
        <f t="shared" si="4"/>
        <v>5121.28</v>
      </c>
    </row>
    <row r="146" spans="1:22" x14ac:dyDescent="0.3">
      <c r="A146" t="s">
        <v>45</v>
      </c>
      <c r="B146" t="s">
        <v>46</v>
      </c>
      <c r="C146" t="s">
        <v>47</v>
      </c>
      <c r="D146" t="s">
        <v>48</v>
      </c>
      <c r="E146" t="s">
        <v>207</v>
      </c>
      <c r="F146" t="s">
        <v>29</v>
      </c>
      <c r="G146" t="s">
        <v>30</v>
      </c>
      <c r="H146">
        <v>123456</v>
      </c>
      <c r="I146" s="4">
        <v>46254</v>
      </c>
      <c r="J146" t="s">
        <v>64</v>
      </c>
      <c r="M146" s="4">
        <v>46254</v>
      </c>
      <c r="N146" s="4">
        <v>46254</v>
      </c>
      <c r="O146">
        <v>1</v>
      </c>
      <c r="Q146" t="s">
        <v>32</v>
      </c>
      <c r="T146" s="5">
        <v>2195.8200000000002</v>
      </c>
      <c r="U146" s="5">
        <v>0</v>
      </c>
      <c r="V146" s="5">
        <f t="shared" si="4"/>
        <v>2195.8200000000002</v>
      </c>
    </row>
    <row r="147" spans="1:22" x14ac:dyDescent="0.3">
      <c r="A147" t="s">
        <v>24</v>
      </c>
      <c r="B147" t="s">
        <v>25</v>
      </c>
      <c r="C147" t="s">
        <v>66</v>
      </c>
      <c r="D147" t="s">
        <v>67</v>
      </c>
      <c r="E147" t="s">
        <v>208</v>
      </c>
      <c r="F147" t="s">
        <v>29</v>
      </c>
      <c r="G147" t="s">
        <v>30</v>
      </c>
      <c r="H147">
        <v>123456</v>
      </c>
      <c r="I147" s="4">
        <v>46254</v>
      </c>
      <c r="J147" t="s">
        <v>64</v>
      </c>
      <c r="M147" s="4">
        <v>46254</v>
      </c>
      <c r="N147" s="4">
        <v>46254</v>
      </c>
      <c r="O147">
        <v>1</v>
      </c>
      <c r="Q147" t="s">
        <v>32</v>
      </c>
      <c r="T147" s="5">
        <v>8236.85</v>
      </c>
      <c r="U147" s="5">
        <v>0</v>
      </c>
      <c r="V147" s="5">
        <f t="shared" si="4"/>
        <v>8236.85</v>
      </c>
    </row>
    <row r="148" spans="1:22" x14ac:dyDescent="0.3">
      <c r="A148" t="s">
        <v>24</v>
      </c>
      <c r="B148" t="s">
        <v>25</v>
      </c>
      <c r="C148" t="s">
        <v>76</v>
      </c>
      <c r="D148" t="s">
        <v>77</v>
      </c>
      <c r="E148" t="s">
        <v>209</v>
      </c>
      <c r="F148" t="s">
        <v>29</v>
      </c>
      <c r="G148" t="s">
        <v>30</v>
      </c>
      <c r="H148">
        <v>123456</v>
      </c>
      <c r="I148" s="4">
        <v>46254</v>
      </c>
      <c r="J148" t="s">
        <v>31</v>
      </c>
      <c r="M148" s="4">
        <v>46254</v>
      </c>
      <c r="N148" s="4">
        <v>46254</v>
      </c>
      <c r="O148">
        <v>1</v>
      </c>
      <c r="Q148" t="s">
        <v>32</v>
      </c>
      <c r="T148" s="5">
        <v>12030.27</v>
      </c>
      <c r="U148" s="5">
        <v>0</v>
      </c>
      <c r="V148" s="5">
        <f t="shared" si="4"/>
        <v>12030.27</v>
      </c>
    </row>
    <row r="149" spans="1:22" x14ac:dyDescent="0.3">
      <c r="A149" t="s">
        <v>24</v>
      </c>
      <c r="B149" t="s">
        <v>25</v>
      </c>
      <c r="C149" t="s">
        <v>88</v>
      </c>
      <c r="D149" t="s">
        <v>89</v>
      </c>
      <c r="E149" t="s">
        <v>210</v>
      </c>
      <c r="F149" t="s">
        <v>29</v>
      </c>
      <c r="G149" t="s">
        <v>30</v>
      </c>
      <c r="H149">
        <v>123456</v>
      </c>
      <c r="I149" s="4">
        <v>46254</v>
      </c>
      <c r="J149" t="s">
        <v>62</v>
      </c>
      <c r="M149" s="4">
        <v>46254</v>
      </c>
      <c r="N149" s="4">
        <v>46254</v>
      </c>
      <c r="O149">
        <v>1</v>
      </c>
      <c r="Q149" t="s">
        <v>32</v>
      </c>
      <c r="T149" s="5">
        <v>4147.47</v>
      </c>
      <c r="U149" s="5">
        <v>0</v>
      </c>
      <c r="V149" s="5">
        <f t="shared" si="4"/>
        <v>4147.47</v>
      </c>
    </row>
    <row r="150" spans="1:22" x14ac:dyDescent="0.3">
      <c r="A150" t="s">
        <v>24</v>
      </c>
      <c r="B150" t="s">
        <v>25</v>
      </c>
      <c r="C150" t="s">
        <v>33</v>
      </c>
      <c r="D150" t="s">
        <v>34</v>
      </c>
      <c r="E150" t="s">
        <v>211</v>
      </c>
      <c r="F150" t="s">
        <v>29</v>
      </c>
      <c r="G150" t="s">
        <v>30</v>
      </c>
      <c r="H150">
        <v>123456</v>
      </c>
      <c r="I150" s="4">
        <v>46254</v>
      </c>
      <c r="J150" t="s">
        <v>40</v>
      </c>
      <c r="M150" s="4">
        <v>46254</v>
      </c>
      <c r="N150" s="4">
        <v>46254</v>
      </c>
      <c r="O150">
        <v>1</v>
      </c>
      <c r="Q150" t="s">
        <v>32</v>
      </c>
      <c r="T150" s="5">
        <v>6799.55</v>
      </c>
      <c r="U150" s="5">
        <v>0</v>
      </c>
      <c r="V150" s="5">
        <f t="shared" si="4"/>
        <v>6799.55</v>
      </c>
    </row>
    <row r="151" spans="1:22" x14ac:dyDescent="0.3">
      <c r="A151" t="s">
        <v>24</v>
      </c>
      <c r="B151" t="s">
        <v>25</v>
      </c>
      <c r="C151" t="s">
        <v>88</v>
      </c>
      <c r="D151" t="s">
        <v>89</v>
      </c>
      <c r="E151" t="s">
        <v>212</v>
      </c>
      <c r="F151" t="s">
        <v>29</v>
      </c>
      <c r="G151" t="s">
        <v>30</v>
      </c>
      <c r="H151">
        <v>123456</v>
      </c>
      <c r="I151" s="4">
        <v>46254</v>
      </c>
      <c r="J151" t="s">
        <v>40</v>
      </c>
      <c r="M151" s="4">
        <v>46254</v>
      </c>
      <c r="N151" s="4">
        <v>46254</v>
      </c>
      <c r="O151">
        <v>1</v>
      </c>
      <c r="Q151" t="s">
        <v>32</v>
      </c>
      <c r="T151" s="5">
        <v>9664.15</v>
      </c>
      <c r="U151" s="5">
        <v>0</v>
      </c>
      <c r="V151" s="5">
        <f t="shared" si="4"/>
        <v>9664.15</v>
      </c>
    </row>
    <row r="152" spans="1:22" x14ac:dyDescent="0.3">
      <c r="A152" t="s">
        <v>24</v>
      </c>
      <c r="B152" t="s">
        <v>25</v>
      </c>
      <c r="C152" t="s">
        <v>26</v>
      </c>
      <c r="D152" t="s">
        <v>27</v>
      </c>
      <c r="E152" t="s">
        <v>213</v>
      </c>
      <c r="F152" t="s">
        <v>29</v>
      </c>
      <c r="G152" t="s">
        <v>30</v>
      </c>
      <c r="H152">
        <v>123456</v>
      </c>
      <c r="I152" s="4">
        <v>46254</v>
      </c>
      <c r="J152" t="s">
        <v>64</v>
      </c>
      <c r="M152" s="4">
        <v>46254</v>
      </c>
      <c r="N152" s="4">
        <v>46254</v>
      </c>
      <c r="O152">
        <v>1</v>
      </c>
      <c r="Q152" t="s">
        <v>32</v>
      </c>
      <c r="T152" s="5">
        <v>9192.08</v>
      </c>
      <c r="U152" s="5">
        <v>0</v>
      </c>
      <c r="V152" s="5">
        <f t="shared" si="4"/>
        <v>9192.08</v>
      </c>
    </row>
    <row r="153" spans="1:22" x14ac:dyDescent="0.3">
      <c r="A153" t="s">
        <v>45</v>
      </c>
      <c r="B153" t="s">
        <v>46</v>
      </c>
      <c r="C153" t="s">
        <v>129</v>
      </c>
      <c r="D153" t="s">
        <v>130</v>
      </c>
      <c r="E153" t="s">
        <v>214</v>
      </c>
      <c r="F153" t="s">
        <v>29</v>
      </c>
      <c r="G153" t="s">
        <v>30</v>
      </c>
      <c r="H153">
        <v>123456</v>
      </c>
      <c r="I153" s="4">
        <v>46254</v>
      </c>
      <c r="J153" t="s">
        <v>36</v>
      </c>
      <c r="M153" s="4">
        <v>46254</v>
      </c>
      <c r="N153" s="4">
        <v>46254</v>
      </c>
      <c r="O153">
        <v>1</v>
      </c>
      <c r="Q153" t="s">
        <v>32</v>
      </c>
      <c r="T153" s="5">
        <v>10250.120000000001</v>
      </c>
      <c r="U153" s="5">
        <v>0</v>
      </c>
      <c r="V153" s="5">
        <f t="shared" si="4"/>
        <v>10250.120000000001</v>
      </c>
    </row>
    <row r="154" spans="1:22" x14ac:dyDescent="0.3">
      <c r="A154" t="s">
        <v>24</v>
      </c>
      <c r="B154" t="s">
        <v>25</v>
      </c>
      <c r="C154" t="s">
        <v>81</v>
      </c>
      <c r="D154" t="s">
        <v>82</v>
      </c>
      <c r="E154" t="s">
        <v>215</v>
      </c>
      <c r="F154" t="s">
        <v>29</v>
      </c>
      <c r="G154" t="s">
        <v>30</v>
      </c>
      <c r="H154">
        <v>123456</v>
      </c>
      <c r="I154" s="4">
        <v>46254</v>
      </c>
      <c r="J154" t="s">
        <v>31</v>
      </c>
      <c r="M154" s="4">
        <v>46254</v>
      </c>
      <c r="N154" s="4">
        <v>46254</v>
      </c>
      <c r="O154">
        <v>1</v>
      </c>
      <c r="Q154" t="s">
        <v>32</v>
      </c>
      <c r="T154" s="5">
        <v>11087.99</v>
      </c>
      <c r="U154" s="5">
        <v>0</v>
      </c>
      <c r="V154" s="5">
        <f t="shared" si="4"/>
        <v>11087.99</v>
      </c>
    </row>
    <row r="155" spans="1:22" x14ac:dyDescent="0.3">
      <c r="A155" t="s">
        <v>45</v>
      </c>
      <c r="B155" t="s">
        <v>46</v>
      </c>
      <c r="C155" t="s">
        <v>129</v>
      </c>
      <c r="D155" t="s">
        <v>130</v>
      </c>
      <c r="E155" t="s">
        <v>216</v>
      </c>
      <c r="F155" t="s">
        <v>29</v>
      </c>
      <c r="G155" t="s">
        <v>30</v>
      </c>
      <c r="H155">
        <v>123456</v>
      </c>
      <c r="I155" s="4">
        <v>46254</v>
      </c>
      <c r="J155" t="s">
        <v>44</v>
      </c>
      <c r="M155" s="4">
        <v>46254</v>
      </c>
      <c r="N155" s="4">
        <v>46254</v>
      </c>
      <c r="O155">
        <v>1</v>
      </c>
      <c r="Q155" t="s">
        <v>32</v>
      </c>
      <c r="T155" s="5">
        <v>3162.64</v>
      </c>
      <c r="U155" s="5">
        <v>0</v>
      </c>
      <c r="V155" s="5">
        <f t="shared" si="4"/>
        <v>3162.64</v>
      </c>
    </row>
    <row r="156" spans="1:22" x14ac:dyDescent="0.3">
      <c r="A156" t="s">
        <v>24</v>
      </c>
      <c r="B156" t="s">
        <v>25</v>
      </c>
      <c r="C156" t="s">
        <v>37</v>
      </c>
      <c r="D156" t="s">
        <v>38</v>
      </c>
      <c r="E156" t="s">
        <v>217</v>
      </c>
      <c r="F156" t="s">
        <v>29</v>
      </c>
      <c r="G156" t="s">
        <v>30</v>
      </c>
      <c r="H156">
        <v>123456</v>
      </c>
      <c r="I156" s="4">
        <v>46254</v>
      </c>
      <c r="J156" t="s">
        <v>40</v>
      </c>
      <c r="M156" s="4">
        <v>46254</v>
      </c>
      <c r="N156" s="4">
        <v>46254</v>
      </c>
      <c r="O156">
        <v>1</v>
      </c>
      <c r="Q156" t="s">
        <v>32</v>
      </c>
      <c r="T156" s="5">
        <v>10084.030000000001</v>
      </c>
      <c r="U156" s="5">
        <v>0</v>
      </c>
      <c r="V156" s="5">
        <f t="shared" si="4"/>
        <v>10084.030000000001</v>
      </c>
    </row>
    <row r="157" spans="1:22" x14ac:dyDescent="0.3">
      <c r="A157" t="s">
        <v>24</v>
      </c>
      <c r="B157" t="s">
        <v>25</v>
      </c>
      <c r="C157" t="s">
        <v>33</v>
      </c>
      <c r="D157" t="s">
        <v>34</v>
      </c>
      <c r="E157" t="s">
        <v>218</v>
      </c>
      <c r="F157" t="s">
        <v>29</v>
      </c>
      <c r="G157" t="s">
        <v>30</v>
      </c>
      <c r="H157">
        <v>123456</v>
      </c>
      <c r="I157" s="4">
        <v>46254</v>
      </c>
      <c r="J157" t="s">
        <v>31</v>
      </c>
      <c r="M157" s="4">
        <v>46254</v>
      </c>
      <c r="N157" s="4">
        <v>46254</v>
      </c>
      <c r="O157">
        <v>1</v>
      </c>
      <c r="Q157" t="s">
        <v>32</v>
      </c>
      <c r="T157" s="5">
        <v>14779.96</v>
      </c>
      <c r="U157" s="5">
        <v>0</v>
      </c>
      <c r="V157" s="5">
        <f t="shared" si="4"/>
        <v>14779.96</v>
      </c>
    </row>
    <row r="158" spans="1:22" x14ac:dyDescent="0.3">
      <c r="A158" t="s">
        <v>24</v>
      </c>
      <c r="B158" t="s">
        <v>25</v>
      </c>
      <c r="C158" t="s">
        <v>37</v>
      </c>
      <c r="D158" t="s">
        <v>38</v>
      </c>
      <c r="E158" t="s">
        <v>219</v>
      </c>
      <c r="F158" t="s">
        <v>29</v>
      </c>
      <c r="G158" t="s">
        <v>30</v>
      </c>
      <c r="H158">
        <v>123456</v>
      </c>
      <c r="I158" s="4">
        <v>46254</v>
      </c>
      <c r="J158" t="s">
        <v>62</v>
      </c>
      <c r="M158" s="4">
        <v>46254</v>
      </c>
      <c r="N158" s="4">
        <v>46254</v>
      </c>
      <c r="O158">
        <v>1</v>
      </c>
      <c r="Q158" t="s">
        <v>32</v>
      </c>
      <c r="T158" s="5">
        <v>13286.85</v>
      </c>
      <c r="U158" s="5">
        <v>0</v>
      </c>
      <c r="V158" s="5">
        <f t="shared" si="4"/>
        <v>13286.85</v>
      </c>
    </row>
    <row r="159" spans="1:22" x14ac:dyDescent="0.3">
      <c r="A159" t="s">
        <v>24</v>
      </c>
      <c r="B159" t="s">
        <v>25</v>
      </c>
      <c r="C159" t="s">
        <v>33</v>
      </c>
      <c r="D159" t="s">
        <v>34</v>
      </c>
      <c r="E159" t="s">
        <v>220</v>
      </c>
      <c r="F159" t="s">
        <v>29</v>
      </c>
      <c r="G159" t="s">
        <v>30</v>
      </c>
      <c r="H159">
        <v>123456</v>
      </c>
      <c r="I159" s="4">
        <v>46254</v>
      </c>
      <c r="J159" t="s">
        <v>40</v>
      </c>
      <c r="M159" s="4">
        <v>46254</v>
      </c>
      <c r="N159" s="4">
        <v>46254</v>
      </c>
      <c r="O159">
        <v>1</v>
      </c>
      <c r="Q159" t="s">
        <v>32</v>
      </c>
      <c r="T159" s="5">
        <v>9706.61</v>
      </c>
      <c r="U159" s="5">
        <v>0</v>
      </c>
      <c r="V159" s="5">
        <f t="shared" si="4"/>
        <v>9706.61</v>
      </c>
    </row>
    <row r="160" spans="1:22" x14ac:dyDescent="0.3">
      <c r="A160" t="s">
        <v>24</v>
      </c>
      <c r="B160" t="s">
        <v>25</v>
      </c>
      <c r="C160" t="s">
        <v>66</v>
      </c>
      <c r="D160" t="s">
        <v>67</v>
      </c>
      <c r="E160" t="s">
        <v>221</v>
      </c>
      <c r="F160" t="s">
        <v>29</v>
      </c>
      <c r="G160" t="s">
        <v>30</v>
      </c>
      <c r="H160">
        <v>123456</v>
      </c>
      <c r="I160" s="4">
        <v>46254</v>
      </c>
      <c r="J160" t="s">
        <v>44</v>
      </c>
      <c r="M160" s="4">
        <v>46254</v>
      </c>
      <c r="N160" s="4">
        <v>46254</v>
      </c>
      <c r="O160">
        <v>1</v>
      </c>
      <c r="Q160" t="s">
        <v>32</v>
      </c>
      <c r="T160" s="5">
        <v>7642.38</v>
      </c>
      <c r="U160" s="5">
        <v>0</v>
      </c>
      <c r="V160" s="5">
        <f t="shared" si="4"/>
        <v>7642.38</v>
      </c>
    </row>
    <row r="161" spans="1:22" x14ac:dyDescent="0.3">
      <c r="A161" t="s">
        <v>24</v>
      </c>
      <c r="B161" t="s">
        <v>25</v>
      </c>
      <c r="C161" t="s">
        <v>26</v>
      </c>
      <c r="D161" t="s">
        <v>27</v>
      </c>
      <c r="E161" t="s">
        <v>222</v>
      </c>
      <c r="F161" t="s">
        <v>29</v>
      </c>
      <c r="G161" t="s">
        <v>30</v>
      </c>
      <c r="H161">
        <v>123456</v>
      </c>
      <c r="I161" s="4">
        <v>46254</v>
      </c>
      <c r="J161" t="s">
        <v>62</v>
      </c>
      <c r="M161" s="4">
        <v>46254</v>
      </c>
      <c r="N161" s="4">
        <v>46254</v>
      </c>
      <c r="O161">
        <v>1</v>
      </c>
      <c r="Q161" t="s">
        <v>32</v>
      </c>
      <c r="T161" s="5">
        <v>13444.9</v>
      </c>
      <c r="U161" s="5">
        <v>0</v>
      </c>
      <c r="V161" s="5">
        <f t="shared" si="4"/>
        <v>13444.9</v>
      </c>
    </row>
    <row r="162" spans="1:22" x14ac:dyDescent="0.3">
      <c r="A162" t="s">
        <v>24</v>
      </c>
      <c r="B162" t="s">
        <v>25</v>
      </c>
      <c r="C162" t="s">
        <v>33</v>
      </c>
      <c r="D162" t="s">
        <v>34</v>
      </c>
      <c r="E162" t="s">
        <v>223</v>
      </c>
      <c r="F162" t="s">
        <v>29</v>
      </c>
      <c r="G162" t="s">
        <v>30</v>
      </c>
      <c r="H162">
        <v>123456</v>
      </c>
      <c r="I162" s="4">
        <v>46254</v>
      </c>
      <c r="J162" t="s">
        <v>62</v>
      </c>
      <c r="M162" s="4">
        <v>46254</v>
      </c>
      <c r="N162" s="4">
        <v>46254</v>
      </c>
      <c r="O162">
        <v>1</v>
      </c>
      <c r="Q162" t="s">
        <v>32</v>
      </c>
      <c r="T162" s="5">
        <v>14135.78</v>
      </c>
      <c r="U162" s="5">
        <v>0</v>
      </c>
      <c r="V162" s="5">
        <f t="shared" si="4"/>
        <v>14135.78</v>
      </c>
    </row>
    <row r="163" spans="1:22" x14ac:dyDescent="0.3">
      <c r="A163" t="s">
        <v>24</v>
      </c>
      <c r="B163" t="s">
        <v>25</v>
      </c>
      <c r="C163" t="s">
        <v>37</v>
      </c>
      <c r="D163" t="s">
        <v>38</v>
      </c>
      <c r="E163" t="s">
        <v>224</v>
      </c>
      <c r="F163" t="s">
        <v>29</v>
      </c>
      <c r="G163" t="s">
        <v>30</v>
      </c>
      <c r="H163">
        <v>123456</v>
      </c>
      <c r="I163" s="4">
        <v>46254</v>
      </c>
      <c r="J163" t="s">
        <v>31</v>
      </c>
      <c r="M163" s="4">
        <v>46254</v>
      </c>
      <c r="N163" s="4">
        <v>46254</v>
      </c>
      <c r="O163">
        <v>1</v>
      </c>
      <c r="Q163" t="s">
        <v>32</v>
      </c>
      <c r="T163" s="5">
        <v>1402.1</v>
      </c>
      <c r="U163" s="5">
        <v>0</v>
      </c>
      <c r="V163" s="5">
        <f t="shared" si="4"/>
        <v>1402.1</v>
      </c>
    </row>
    <row r="164" spans="1:22" x14ac:dyDescent="0.3">
      <c r="A164" t="s">
        <v>24</v>
      </c>
      <c r="B164" t="s">
        <v>25</v>
      </c>
      <c r="C164" t="s">
        <v>54</v>
      </c>
      <c r="D164" t="s">
        <v>55</v>
      </c>
      <c r="E164" t="s">
        <v>225</v>
      </c>
      <c r="F164" t="s">
        <v>29</v>
      </c>
      <c r="G164" t="s">
        <v>30</v>
      </c>
      <c r="H164">
        <v>123456</v>
      </c>
      <c r="I164" s="4">
        <v>46254</v>
      </c>
      <c r="J164" t="s">
        <v>40</v>
      </c>
      <c r="M164" s="4">
        <v>46254</v>
      </c>
      <c r="N164" s="4">
        <v>46254</v>
      </c>
      <c r="O164">
        <v>1</v>
      </c>
      <c r="Q164" t="s">
        <v>32</v>
      </c>
      <c r="T164" s="5">
        <v>7347.58</v>
      </c>
      <c r="U164" s="5">
        <v>0</v>
      </c>
      <c r="V164" s="5">
        <f t="shared" si="4"/>
        <v>7347.58</v>
      </c>
    </row>
    <row r="165" spans="1:22" x14ac:dyDescent="0.3">
      <c r="A165" t="s">
        <v>24</v>
      </c>
      <c r="B165" t="s">
        <v>25</v>
      </c>
      <c r="C165" t="s">
        <v>88</v>
      </c>
      <c r="D165" t="s">
        <v>89</v>
      </c>
      <c r="E165" t="s">
        <v>226</v>
      </c>
      <c r="F165" t="s">
        <v>29</v>
      </c>
      <c r="G165" t="s">
        <v>30</v>
      </c>
      <c r="H165">
        <v>123456</v>
      </c>
      <c r="I165" s="4">
        <v>46254</v>
      </c>
      <c r="J165" t="s">
        <v>64</v>
      </c>
      <c r="M165" s="4">
        <v>46254</v>
      </c>
      <c r="N165" s="4">
        <v>46254</v>
      </c>
      <c r="O165">
        <v>1</v>
      </c>
      <c r="Q165" t="s">
        <v>32</v>
      </c>
      <c r="T165" s="5">
        <v>10831.77</v>
      </c>
      <c r="U165" s="5">
        <v>0</v>
      </c>
      <c r="V165" s="5">
        <f t="shared" si="4"/>
        <v>10831.77</v>
      </c>
    </row>
    <row r="166" spans="1:22" x14ac:dyDescent="0.3">
      <c r="A166" t="s">
        <v>24</v>
      </c>
      <c r="B166" t="s">
        <v>25</v>
      </c>
      <c r="C166" t="s">
        <v>81</v>
      </c>
      <c r="D166" t="s">
        <v>82</v>
      </c>
      <c r="E166" t="s">
        <v>227</v>
      </c>
      <c r="F166" t="s">
        <v>29</v>
      </c>
      <c r="G166" t="s">
        <v>30</v>
      </c>
      <c r="H166">
        <v>123456</v>
      </c>
      <c r="I166" s="4">
        <v>46254</v>
      </c>
      <c r="J166" t="s">
        <v>31</v>
      </c>
      <c r="M166" s="4">
        <v>46254</v>
      </c>
      <c r="N166" s="4">
        <v>46254</v>
      </c>
      <c r="O166">
        <v>1</v>
      </c>
      <c r="Q166" t="s">
        <v>32</v>
      </c>
      <c r="T166" s="5">
        <v>948.96</v>
      </c>
      <c r="U166" s="5">
        <v>0</v>
      </c>
      <c r="V166" s="5">
        <f t="shared" si="4"/>
        <v>948.96</v>
      </c>
    </row>
    <row r="167" spans="1:22" x14ac:dyDescent="0.3">
      <c r="A167" t="s">
        <v>24</v>
      </c>
      <c r="B167" t="s">
        <v>25</v>
      </c>
      <c r="C167" t="s">
        <v>88</v>
      </c>
      <c r="D167" t="s">
        <v>89</v>
      </c>
      <c r="E167" t="s">
        <v>228</v>
      </c>
      <c r="F167" t="s">
        <v>29</v>
      </c>
      <c r="G167" t="s">
        <v>30</v>
      </c>
      <c r="H167">
        <v>123456</v>
      </c>
      <c r="I167" s="4">
        <v>46254</v>
      </c>
      <c r="J167" t="s">
        <v>44</v>
      </c>
      <c r="M167" s="4">
        <v>46254</v>
      </c>
      <c r="N167" s="4">
        <v>46254</v>
      </c>
      <c r="O167">
        <v>1</v>
      </c>
      <c r="Q167" t="s">
        <v>32</v>
      </c>
      <c r="T167" s="5">
        <v>14940.35</v>
      </c>
      <c r="U167" s="5">
        <v>0</v>
      </c>
      <c r="V167" s="5">
        <f t="shared" ref="V167:V198" si="5">T167+U167</f>
        <v>14940.35</v>
      </c>
    </row>
    <row r="168" spans="1:22" x14ac:dyDescent="0.3">
      <c r="A168" t="s">
        <v>24</v>
      </c>
      <c r="B168" t="s">
        <v>25</v>
      </c>
      <c r="C168" t="s">
        <v>66</v>
      </c>
      <c r="D168" t="s">
        <v>67</v>
      </c>
      <c r="E168" t="s">
        <v>229</v>
      </c>
      <c r="F168" t="s">
        <v>29</v>
      </c>
      <c r="G168" t="s">
        <v>30</v>
      </c>
      <c r="H168">
        <v>123456</v>
      </c>
      <c r="I168" s="4">
        <v>46254</v>
      </c>
      <c r="J168" t="s">
        <v>31</v>
      </c>
      <c r="M168" s="4">
        <v>46254</v>
      </c>
      <c r="N168" s="4">
        <v>46254</v>
      </c>
      <c r="O168">
        <v>1</v>
      </c>
      <c r="Q168" t="s">
        <v>32</v>
      </c>
      <c r="T168" s="5">
        <v>948</v>
      </c>
      <c r="U168" s="5">
        <v>0</v>
      </c>
      <c r="V168" s="5">
        <f t="shared" si="5"/>
        <v>948</v>
      </c>
    </row>
    <row r="169" spans="1:22" x14ac:dyDescent="0.3">
      <c r="A169" t="s">
        <v>24</v>
      </c>
      <c r="B169" t="s">
        <v>25</v>
      </c>
      <c r="C169" t="s">
        <v>66</v>
      </c>
      <c r="D169" t="s">
        <v>67</v>
      </c>
      <c r="E169" t="s">
        <v>230</v>
      </c>
      <c r="F169" t="s">
        <v>29</v>
      </c>
      <c r="G169" t="s">
        <v>30</v>
      </c>
      <c r="H169">
        <v>123456</v>
      </c>
      <c r="I169" s="4">
        <v>46254</v>
      </c>
      <c r="J169" t="s">
        <v>31</v>
      </c>
      <c r="M169" s="4">
        <v>46254</v>
      </c>
      <c r="N169" s="4">
        <v>46254</v>
      </c>
      <c r="O169">
        <v>1</v>
      </c>
      <c r="Q169" t="s">
        <v>32</v>
      </c>
      <c r="T169" s="5">
        <v>6128.61</v>
      </c>
      <c r="U169" s="5">
        <v>0</v>
      </c>
      <c r="V169" s="5">
        <f t="shared" si="5"/>
        <v>6128.61</v>
      </c>
    </row>
    <row r="170" spans="1:22" x14ac:dyDescent="0.3">
      <c r="A170" t="s">
        <v>24</v>
      </c>
      <c r="B170" t="s">
        <v>25</v>
      </c>
      <c r="C170" t="s">
        <v>54</v>
      </c>
      <c r="D170" t="s">
        <v>55</v>
      </c>
      <c r="E170" t="s">
        <v>231</v>
      </c>
      <c r="F170" t="s">
        <v>29</v>
      </c>
      <c r="G170" t="s">
        <v>30</v>
      </c>
      <c r="H170">
        <v>123456</v>
      </c>
      <c r="I170" s="4">
        <v>46254</v>
      </c>
      <c r="J170" t="s">
        <v>62</v>
      </c>
      <c r="M170" s="4">
        <v>46254</v>
      </c>
      <c r="N170" s="4">
        <v>46254</v>
      </c>
      <c r="O170">
        <v>1</v>
      </c>
      <c r="Q170" t="s">
        <v>32</v>
      </c>
      <c r="T170" s="5">
        <v>10269.9</v>
      </c>
      <c r="U170" s="5">
        <v>0</v>
      </c>
      <c r="V170" s="5">
        <f t="shared" si="5"/>
        <v>10269.9</v>
      </c>
    </row>
    <row r="171" spans="1:22" x14ac:dyDescent="0.3">
      <c r="A171" t="s">
        <v>24</v>
      </c>
      <c r="B171" t="s">
        <v>25</v>
      </c>
      <c r="C171" t="s">
        <v>33</v>
      </c>
      <c r="D171" t="s">
        <v>34</v>
      </c>
      <c r="E171" t="s">
        <v>232</v>
      </c>
      <c r="F171" t="s">
        <v>29</v>
      </c>
      <c r="G171" t="s">
        <v>30</v>
      </c>
      <c r="H171">
        <v>123456</v>
      </c>
      <c r="I171" s="4">
        <v>46254</v>
      </c>
      <c r="J171" t="s">
        <v>36</v>
      </c>
      <c r="M171" s="4">
        <v>46254</v>
      </c>
      <c r="N171" s="4">
        <v>46254</v>
      </c>
      <c r="O171">
        <v>1</v>
      </c>
      <c r="Q171" t="s">
        <v>32</v>
      </c>
      <c r="T171" s="5">
        <v>9116.4500000000007</v>
      </c>
      <c r="U171" s="5">
        <v>0</v>
      </c>
      <c r="V171" s="5">
        <f t="shared" si="5"/>
        <v>9116.4500000000007</v>
      </c>
    </row>
    <row r="177" spans="1:22" x14ac:dyDescent="0.3">
      <c r="A177" t="s">
        <v>233</v>
      </c>
      <c r="B177">
        <f>COUNTA(B7:B171)</f>
        <v>165</v>
      </c>
      <c r="O177">
        <f>0+ SUM(O7:O171)</f>
        <v>165</v>
      </c>
      <c r="T177">
        <f>0+ SUM(T7:T171)</f>
        <v>1311893.4000000004</v>
      </c>
      <c r="U177">
        <f>0+ SUM(U7:U171)</f>
        <v>0</v>
      </c>
      <c r="V177">
        <f>0+ SUM(V7:V171)</f>
        <v>1311893.4000000004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PlanilhaProdutividade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Souza</dc:creator>
  <cp:lastModifiedBy>VINICIUS PEREIRA DA SILVA</cp:lastModifiedBy>
  <dcterms:created xsi:type="dcterms:W3CDTF">2026-09-17T13:16:56Z</dcterms:created>
  <dcterms:modified xsi:type="dcterms:W3CDTF">2026-10-21T23:53:17Z</dcterms:modified>
</cp:coreProperties>
</file>